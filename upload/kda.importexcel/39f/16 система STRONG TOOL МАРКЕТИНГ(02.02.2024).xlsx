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C:\Users\Вячеслав\Desktop\Новая папка (2)\"/>
    </mc:Choice>
  </mc:AlternateContent>
  <xr:revisionPtr revIDLastSave="0" documentId="13_ncr:1_{420546E8-D261-4ACF-B5ED-9C26FB941C4F}" xr6:coauthVersionLast="37" xr6:coauthVersionMax="37" xr10:uidLastSave="{00000000-0000-0000-0000-000000000000}"/>
  <bookViews>
    <workbookView xWindow="0" yWindow="0" windowWidth="27570" windowHeight="5490" xr2:uid="{00000000-000D-0000-FFFF-FFFF00000000}"/>
  </bookViews>
  <sheets>
    <sheet name="Прайс 16 система" sheetId="1" r:id="rId1"/>
  </sheets>
  <definedNames>
    <definedName name="_xlnm._FilterDatabase" localSheetId="0" hidden="1">'Прайс 16 система'!$A$1:$AI$149</definedName>
    <definedName name="_xlnm.Print_Area" localSheetId="0">'Прайс 16 система'!$A$1:$AH$148</definedName>
  </definedNames>
  <calcPr calcId="179021"/>
</workbook>
</file>

<file path=xl/calcChain.xml><?xml version="1.0" encoding="utf-8"?>
<calcChain xmlns="http://schemas.openxmlformats.org/spreadsheetml/2006/main">
  <c r="AB68" i="1" l="1"/>
  <c r="W68" i="1"/>
  <c r="Z68" i="1" l="1"/>
  <c r="AE68" i="1" l="1"/>
  <c r="AC68" i="1"/>
  <c r="Y68" i="1"/>
  <c r="X68" i="1"/>
  <c r="T68" i="1"/>
  <c r="U68" i="1" s="1"/>
  <c r="AD68" i="1"/>
  <c r="AB41" i="1" l="1"/>
  <c r="W41" i="1"/>
  <c r="T41" i="1" l="1"/>
  <c r="U41" i="1" s="1"/>
  <c r="AE41" i="1"/>
  <c r="Z41" i="1"/>
  <c r="X41" i="1"/>
  <c r="Y41" i="1"/>
  <c r="AD41" i="1"/>
  <c r="AC41" i="1"/>
  <c r="AB78" i="1"/>
  <c r="W78" i="1"/>
  <c r="AB76" i="1"/>
  <c r="W76" i="1"/>
  <c r="AB74" i="1"/>
  <c r="W74" i="1"/>
  <c r="AB72" i="1"/>
  <c r="W72" i="1"/>
  <c r="X76" i="1" l="1"/>
  <c r="Y76" i="1"/>
  <c r="T72" i="1"/>
  <c r="U72" i="1" s="1"/>
  <c r="Z72" i="1"/>
  <c r="AE72" i="1"/>
  <c r="AD76" i="1"/>
  <c r="AC76" i="1"/>
  <c r="X72" i="1"/>
  <c r="Y72" i="1"/>
  <c r="AD74" i="1"/>
  <c r="AC74" i="1"/>
  <c r="T78" i="1"/>
  <c r="U78" i="1" s="1"/>
  <c r="Z78" i="1"/>
  <c r="AE78" i="1"/>
  <c r="AC72" i="1"/>
  <c r="AD72" i="1"/>
  <c r="X78" i="1"/>
  <c r="Y78" i="1"/>
  <c r="T74" i="1"/>
  <c r="U74" i="1" s="1"/>
  <c r="AE74" i="1"/>
  <c r="Z74" i="1"/>
  <c r="AD78" i="1"/>
  <c r="AC78" i="1"/>
  <c r="X74" i="1"/>
  <c r="Y74" i="1"/>
  <c r="T76" i="1"/>
  <c r="U76" i="1" s="1"/>
  <c r="Z76" i="1"/>
  <c r="AE76" i="1"/>
  <c r="W107" i="1"/>
  <c r="W108" i="1"/>
  <c r="AB34" i="1" l="1"/>
  <c r="AB35" i="1"/>
  <c r="AB36" i="1"/>
  <c r="AB37" i="1"/>
  <c r="AB80" i="1" l="1"/>
  <c r="W80" i="1"/>
  <c r="Y80" i="1" l="1"/>
  <c r="X80" i="1"/>
  <c r="T80" i="1"/>
  <c r="U80" i="1" s="1"/>
  <c r="Z80" i="1"/>
  <c r="AE80" i="1"/>
  <c r="AC80" i="1"/>
  <c r="AD80" i="1"/>
  <c r="AB27" i="1"/>
  <c r="AB28" i="1"/>
  <c r="AB29" i="1"/>
  <c r="AB30" i="1"/>
  <c r="AB31" i="1"/>
  <c r="AB32" i="1"/>
  <c r="AB33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9" i="1"/>
  <c r="AB70" i="1"/>
  <c r="AB71" i="1"/>
  <c r="AB73" i="1"/>
  <c r="AB75" i="1"/>
  <c r="AB77" i="1"/>
  <c r="AB79" i="1"/>
  <c r="AB81" i="1"/>
  <c r="AB82" i="1"/>
  <c r="AB83" i="1"/>
  <c r="AB84" i="1"/>
  <c r="AB85" i="1"/>
  <c r="AB86" i="1"/>
  <c r="AB87" i="1"/>
  <c r="AB88" i="1"/>
  <c r="AB89" i="1"/>
  <c r="AB90" i="1"/>
  <c r="AB91" i="1"/>
  <c r="AB96" i="1"/>
  <c r="AB97" i="1"/>
  <c r="AB98" i="1"/>
  <c r="AB99" i="1"/>
  <c r="AB100" i="1"/>
  <c r="AB101" i="1"/>
  <c r="AB102" i="1"/>
  <c r="AB103" i="1"/>
  <c r="AB104" i="1"/>
  <c r="AB105" i="1"/>
  <c r="AB106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07" i="1"/>
  <c r="AB108" i="1"/>
  <c r="AB109" i="1"/>
  <c r="AB110" i="1"/>
  <c r="AB129" i="1"/>
  <c r="AB130" i="1"/>
  <c r="AB131" i="1"/>
  <c r="AB132" i="1"/>
  <c r="AB133" i="1"/>
  <c r="AB134" i="1"/>
  <c r="AB135" i="1"/>
  <c r="AB136" i="1"/>
  <c r="AB137" i="1"/>
  <c r="AB138" i="1"/>
  <c r="AB139" i="1"/>
  <c r="AB92" i="1"/>
  <c r="AB93" i="1"/>
  <c r="AB94" i="1"/>
  <c r="AB95" i="1"/>
  <c r="AB140" i="1"/>
  <c r="AB141" i="1"/>
  <c r="AB142" i="1"/>
  <c r="AB143" i="1"/>
  <c r="AB144" i="1"/>
  <c r="AB145" i="1"/>
  <c r="AB146" i="1"/>
  <c r="AB147" i="1"/>
  <c r="AB148" i="1"/>
  <c r="AB149" i="1"/>
  <c r="AB26" i="1"/>
  <c r="W27" i="1"/>
  <c r="W28" i="1"/>
  <c r="W29" i="1"/>
  <c r="W30" i="1"/>
  <c r="W31" i="1"/>
  <c r="W32" i="1"/>
  <c r="W33" i="1"/>
  <c r="W34" i="1"/>
  <c r="W35" i="1"/>
  <c r="W36" i="1"/>
  <c r="W37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9" i="1"/>
  <c r="W70" i="1"/>
  <c r="W71" i="1"/>
  <c r="W73" i="1"/>
  <c r="W75" i="1"/>
  <c r="W77" i="1"/>
  <c r="W79" i="1"/>
  <c r="W81" i="1"/>
  <c r="W82" i="1"/>
  <c r="W83" i="1"/>
  <c r="W84" i="1"/>
  <c r="W85" i="1"/>
  <c r="W86" i="1"/>
  <c r="W87" i="1"/>
  <c r="W88" i="1"/>
  <c r="W89" i="1"/>
  <c r="W90" i="1"/>
  <c r="W91" i="1"/>
  <c r="W96" i="1"/>
  <c r="W97" i="1"/>
  <c r="W98" i="1"/>
  <c r="W99" i="1"/>
  <c r="W100" i="1"/>
  <c r="W101" i="1"/>
  <c r="W102" i="1"/>
  <c r="W103" i="1"/>
  <c r="W104" i="1"/>
  <c r="W105" i="1"/>
  <c r="W106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09" i="1"/>
  <c r="W110" i="1"/>
  <c r="W129" i="1"/>
  <c r="W130" i="1"/>
  <c r="W131" i="1"/>
  <c r="W132" i="1"/>
  <c r="W133" i="1"/>
  <c r="W134" i="1"/>
  <c r="W135" i="1"/>
  <c r="W136" i="1"/>
  <c r="W137" i="1"/>
  <c r="W138" i="1"/>
  <c r="W139" i="1"/>
  <c r="W92" i="1"/>
  <c r="W93" i="1"/>
  <c r="W94" i="1"/>
  <c r="W95" i="1"/>
  <c r="W140" i="1"/>
  <c r="W141" i="1"/>
  <c r="W142" i="1"/>
  <c r="W143" i="1"/>
  <c r="W144" i="1"/>
  <c r="W145" i="1"/>
  <c r="W146" i="1"/>
  <c r="W147" i="1"/>
  <c r="W148" i="1"/>
  <c r="W149" i="1"/>
  <c r="W26" i="1"/>
  <c r="AE27" i="1" l="1"/>
  <c r="AE28" i="1"/>
  <c r="AE29" i="1"/>
  <c r="AE30" i="1"/>
  <c r="AE31" i="1"/>
  <c r="AE32" i="1"/>
  <c r="AE33" i="1"/>
  <c r="Y34" i="1"/>
  <c r="X35" i="1"/>
  <c r="Y36" i="1"/>
  <c r="X37" i="1"/>
  <c r="AD44" i="1"/>
  <c r="X46" i="1"/>
  <c r="Y48" i="1"/>
  <c r="X49" i="1"/>
  <c r="Y50" i="1"/>
  <c r="Y51" i="1"/>
  <c r="AD53" i="1"/>
  <c r="Y54" i="1"/>
  <c r="X56" i="1"/>
  <c r="AC57" i="1"/>
  <c r="X59" i="1"/>
  <c r="X62" i="1"/>
  <c r="AC64" i="1"/>
  <c r="Y65" i="1"/>
  <c r="X70" i="1"/>
  <c r="AD71" i="1"/>
  <c r="X75" i="1"/>
  <c r="Y77" i="1"/>
  <c r="AD79" i="1"/>
  <c r="AC81" i="1"/>
  <c r="AC86" i="1"/>
  <c r="AC87" i="1"/>
  <c r="Y88" i="1"/>
  <c r="AC89" i="1"/>
  <c r="Y91" i="1"/>
  <c r="AC96" i="1"/>
  <c r="AD98" i="1"/>
  <c r="Y99" i="1"/>
  <c r="AC100" i="1"/>
  <c r="AD103" i="1"/>
  <c r="AC104" i="1"/>
  <c r="X105" i="1"/>
  <c r="X106" i="1"/>
  <c r="AD111" i="1"/>
  <c r="AD112" i="1"/>
  <c r="X113" i="1"/>
  <c r="X114" i="1"/>
  <c r="AC115" i="1"/>
  <c r="AD116" i="1"/>
  <c r="AD118" i="1"/>
  <c r="X119" i="1"/>
  <c r="AD120" i="1"/>
  <c r="AC121" i="1"/>
  <c r="AC122" i="1"/>
  <c r="AC126" i="1"/>
  <c r="AC127" i="1"/>
  <c r="Y128" i="1"/>
  <c r="AC107" i="1"/>
  <c r="Y109" i="1"/>
  <c r="AC110" i="1"/>
  <c r="X129" i="1"/>
  <c r="Y130" i="1"/>
  <c r="X131" i="1"/>
  <c r="X132" i="1"/>
  <c r="AD133" i="1"/>
  <c r="Y134" i="1"/>
  <c r="X135" i="1"/>
  <c r="X136" i="1"/>
  <c r="Y138" i="1"/>
  <c r="Y139" i="1"/>
  <c r="AC92" i="1"/>
  <c r="X93" i="1"/>
  <c r="X94" i="1"/>
  <c r="X95" i="1"/>
  <c r="Y140" i="1"/>
  <c r="X142" i="1"/>
  <c r="AD143" i="1"/>
  <c r="Y144" i="1"/>
  <c r="X145" i="1"/>
  <c r="X141" i="1" l="1"/>
  <c r="Y55" i="1"/>
  <c r="X100" i="1"/>
  <c r="AC135" i="1"/>
  <c r="AC109" i="1"/>
  <c r="X103" i="1"/>
  <c r="Y71" i="1"/>
  <c r="X127" i="1"/>
  <c r="X112" i="1"/>
  <c r="AD70" i="1"/>
  <c r="AD135" i="1"/>
  <c r="X53" i="1"/>
  <c r="Y103" i="1"/>
  <c r="AC143" i="1"/>
  <c r="AC99" i="1"/>
  <c r="X77" i="1"/>
  <c r="Y127" i="1"/>
  <c r="X65" i="1"/>
  <c r="Y120" i="1"/>
  <c r="AC95" i="1"/>
  <c r="AC46" i="1"/>
  <c r="Y115" i="1"/>
  <c r="Y131" i="1"/>
  <c r="AC49" i="1"/>
  <c r="AC111" i="1"/>
  <c r="AD50" i="1"/>
  <c r="X87" i="1"/>
  <c r="AD115" i="1"/>
  <c r="Y135" i="1"/>
  <c r="AD54" i="1"/>
  <c r="X143" i="1"/>
  <c r="AD49" i="1"/>
  <c r="AC131" i="1"/>
  <c r="Y87" i="1"/>
  <c r="AD99" i="1"/>
  <c r="AC91" i="1"/>
  <c r="AC62" i="1"/>
  <c r="AC136" i="1"/>
  <c r="Y143" i="1"/>
  <c r="AD57" i="1"/>
  <c r="AD131" i="1"/>
  <c r="Y49" i="1"/>
  <c r="AC103" i="1"/>
  <c r="AC140" i="1"/>
  <c r="AD87" i="1"/>
  <c r="AC65" i="1"/>
  <c r="AC139" i="1"/>
  <c r="X111" i="1"/>
  <c r="X109" i="1"/>
  <c r="X79" i="1"/>
  <c r="AD65" i="1"/>
  <c r="X139" i="1"/>
  <c r="X57" i="1"/>
  <c r="Y111" i="1"/>
  <c r="AD119" i="1"/>
  <c r="AC77" i="1"/>
  <c r="AC119" i="1"/>
  <c r="Y119" i="1"/>
  <c r="Y37" i="1"/>
  <c r="AD29" i="1"/>
  <c r="AD33" i="1"/>
  <c r="AD30" i="1"/>
  <c r="T149" i="1"/>
  <c r="U149" i="1" s="1"/>
  <c r="Z149" i="1"/>
  <c r="AE149" i="1"/>
  <c r="T137" i="1"/>
  <c r="U137" i="1" s="1"/>
  <c r="AE137" i="1"/>
  <c r="Z137" i="1"/>
  <c r="T125" i="1"/>
  <c r="U125" i="1" s="1"/>
  <c r="Z125" i="1"/>
  <c r="AE125" i="1"/>
  <c r="T117" i="1"/>
  <c r="U117" i="1" s="1"/>
  <c r="AE117" i="1"/>
  <c r="Z117" i="1"/>
  <c r="T97" i="1"/>
  <c r="U97" i="1" s="1"/>
  <c r="Z97" i="1"/>
  <c r="AE97" i="1"/>
  <c r="T73" i="1"/>
  <c r="U73" i="1" s="1"/>
  <c r="AE73" i="1"/>
  <c r="Z73" i="1"/>
  <c r="T63" i="1"/>
  <c r="U63" i="1" s="1"/>
  <c r="Z63" i="1"/>
  <c r="AE63" i="1"/>
  <c r="T55" i="1"/>
  <c r="U55" i="1" s="1"/>
  <c r="T47" i="1"/>
  <c r="U47" i="1" s="1"/>
  <c r="Z47" i="1"/>
  <c r="AE47" i="1"/>
  <c r="T19" i="1"/>
  <c r="U19" i="1" s="1"/>
  <c r="AC19" i="1"/>
  <c r="AD19" i="1"/>
  <c r="AE19" i="1"/>
  <c r="T140" i="1"/>
  <c r="U140" i="1" s="1"/>
  <c r="Z140" i="1"/>
  <c r="AE140" i="1"/>
  <c r="T136" i="1"/>
  <c r="U136" i="1" s="1"/>
  <c r="AE136" i="1"/>
  <c r="Z136" i="1"/>
  <c r="T110" i="1"/>
  <c r="U110" i="1" s="1"/>
  <c r="AE110" i="1"/>
  <c r="Z110" i="1"/>
  <c r="T116" i="1"/>
  <c r="U116" i="1" s="1"/>
  <c r="Z116" i="1"/>
  <c r="AE116" i="1"/>
  <c r="T104" i="1"/>
  <c r="U104" i="1" s="1"/>
  <c r="Z104" i="1"/>
  <c r="AE104" i="1"/>
  <c r="T96" i="1"/>
  <c r="U96" i="1" s="1"/>
  <c r="Z96" i="1"/>
  <c r="AE96" i="1"/>
  <c r="T71" i="1"/>
  <c r="U71" i="1" s="1"/>
  <c r="AE71" i="1"/>
  <c r="Z71" i="1"/>
  <c r="T62" i="1"/>
  <c r="U62" i="1" s="1"/>
  <c r="AE62" i="1"/>
  <c r="Z62" i="1"/>
  <c r="T54" i="1"/>
  <c r="U54" i="1" s="1"/>
  <c r="AE54" i="1"/>
  <c r="Z54" i="1"/>
  <c r="T46" i="1"/>
  <c r="U46" i="1" s="1"/>
  <c r="AE46" i="1"/>
  <c r="Z46" i="1"/>
  <c r="T34" i="1"/>
  <c r="U34" i="1" s="1"/>
  <c r="AE34" i="1"/>
  <c r="Z34" i="1"/>
  <c r="AD34" i="1"/>
  <c r="AC34" i="1"/>
  <c r="T18" i="1"/>
  <c r="U18" i="1" s="1"/>
  <c r="AC18" i="1"/>
  <c r="AD18" i="1"/>
  <c r="AE18" i="1"/>
  <c r="T10" i="1"/>
  <c r="U10" i="1" s="1"/>
  <c r="AD10" i="1"/>
  <c r="AE10" i="1"/>
  <c r="AC10" i="1"/>
  <c r="AC28" i="1"/>
  <c r="AD114" i="1"/>
  <c r="AD94" i="1"/>
  <c r="Y100" i="1"/>
  <c r="Y89" i="1"/>
  <c r="X140" i="1"/>
  <c r="AC54" i="1"/>
  <c r="AD96" i="1"/>
  <c r="AD110" i="1"/>
  <c r="AC97" i="1"/>
  <c r="AC129" i="1"/>
  <c r="X149" i="1"/>
  <c r="Y117" i="1"/>
  <c r="X98" i="1"/>
  <c r="AC56" i="1"/>
  <c r="AD130" i="1"/>
  <c r="Y46" i="1"/>
  <c r="Y47" i="1"/>
  <c r="X125" i="1"/>
  <c r="X118" i="1"/>
  <c r="X86" i="1"/>
  <c r="AC132" i="1"/>
  <c r="X64" i="1"/>
  <c r="AC145" i="1"/>
  <c r="X110" i="1"/>
  <c r="T95" i="1"/>
  <c r="U95" i="1" s="1"/>
  <c r="AE95" i="1"/>
  <c r="Z95" i="1"/>
  <c r="T135" i="1"/>
  <c r="U135" i="1" s="1"/>
  <c r="AE135" i="1"/>
  <c r="Z135" i="1"/>
  <c r="T109" i="1"/>
  <c r="U109" i="1" s="1"/>
  <c r="AE109" i="1"/>
  <c r="Z109" i="1"/>
  <c r="T115" i="1"/>
  <c r="U115" i="1" s="1"/>
  <c r="AE115" i="1"/>
  <c r="Z115" i="1"/>
  <c r="T103" i="1"/>
  <c r="U103" i="1" s="1"/>
  <c r="AE103" i="1"/>
  <c r="Z103" i="1"/>
  <c r="T91" i="1"/>
  <c r="U91" i="1" s="1"/>
  <c r="AE91" i="1"/>
  <c r="Z91" i="1"/>
  <c r="T70" i="1"/>
  <c r="U70" i="1" s="1"/>
  <c r="AE70" i="1"/>
  <c r="Z70" i="1"/>
  <c r="T53" i="1"/>
  <c r="U53" i="1" s="1"/>
  <c r="AE53" i="1"/>
  <c r="Z53" i="1"/>
  <c r="T25" i="1"/>
  <c r="U25" i="1" s="1"/>
  <c r="AE25" i="1"/>
  <c r="AC25" i="1"/>
  <c r="AD25" i="1"/>
  <c r="T17" i="1"/>
  <c r="U17" i="1" s="1"/>
  <c r="AE17" i="1"/>
  <c r="AD17" i="1"/>
  <c r="AC17" i="1"/>
  <c r="T9" i="1"/>
  <c r="U9" i="1" s="1"/>
  <c r="AE9" i="1"/>
  <c r="AC9" i="1"/>
  <c r="AD9" i="1"/>
  <c r="Y112" i="1"/>
  <c r="AC53" i="1"/>
  <c r="AD91" i="1"/>
  <c r="AD95" i="1"/>
  <c r="Y113" i="1"/>
  <c r="AD109" i="1"/>
  <c r="AD62" i="1"/>
  <c r="AD104" i="1"/>
  <c r="AD136" i="1"/>
  <c r="Y136" i="1"/>
  <c r="AD63" i="1"/>
  <c r="AD105" i="1"/>
  <c r="AD137" i="1"/>
  <c r="Y53" i="1"/>
  <c r="X91" i="1"/>
  <c r="Y129" i="1"/>
  <c r="AC33" i="1"/>
  <c r="Y35" i="1"/>
  <c r="X126" i="1"/>
  <c r="AD64" i="1"/>
  <c r="AC106" i="1"/>
  <c r="AC138" i="1"/>
  <c r="X54" i="1"/>
  <c r="Y96" i="1"/>
  <c r="X130" i="1"/>
  <c r="X63" i="1"/>
  <c r="X92" i="1"/>
  <c r="Y132" i="1"/>
  <c r="AC112" i="1"/>
  <c r="AD92" i="1"/>
  <c r="Y106" i="1"/>
  <c r="AD51" i="1"/>
  <c r="AD89" i="1"/>
  <c r="AD107" i="1"/>
  <c r="Y145" i="1"/>
  <c r="Y59" i="1"/>
  <c r="T94" i="1"/>
  <c r="U94" i="1" s="1"/>
  <c r="AE94" i="1"/>
  <c r="Z94" i="1"/>
  <c r="T134" i="1"/>
  <c r="U134" i="1" s="1"/>
  <c r="Z134" i="1"/>
  <c r="AE134" i="1"/>
  <c r="T108" i="1"/>
  <c r="U108" i="1" s="1"/>
  <c r="Z108" i="1"/>
  <c r="AE108" i="1"/>
  <c r="X108" i="1"/>
  <c r="Y108" i="1"/>
  <c r="T122" i="1"/>
  <c r="U122" i="1" s="1"/>
  <c r="AE122" i="1"/>
  <c r="Z122" i="1"/>
  <c r="T114" i="1"/>
  <c r="U114" i="1" s="1"/>
  <c r="Z114" i="1"/>
  <c r="AE114" i="1"/>
  <c r="T102" i="1"/>
  <c r="U102" i="1" s="1"/>
  <c r="AE102" i="1"/>
  <c r="Z102" i="1"/>
  <c r="T90" i="1"/>
  <c r="U90" i="1" s="1"/>
  <c r="AE90" i="1"/>
  <c r="Z90" i="1"/>
  <c r="T52" i="1"/>
  <c r="U52" i="1" s="1"/>
  <c r="Z52" i="1"/>
  <c r="AE52" i="1"/>
  <c r="T44" i="1"/>
  <c r="U44" i="1" s="1"/>
  <c r="Z44" i="1"/>
  <c r="AE44" i="1"/>
  <c r="T24" i="1"/>
  <c r="U24" i="1" s="1"/>
  <c r="AD24" i="1"/>
  <c r="AE24" i="1"/>
  <c r="AC24" i="1"/>
  <c r="T16" i="1"/>
  <c r="U16" i="1" s="1"/>
  <c r="AD16" i="1"/>
  <c r="AC16" i="1"/>
  <c r="AE16" i="1"/>
  <c r="T8" i="1"/>
  <c r="U8" i="1" s="1"/>
  <c r="AD8" i="1"/>
  <c r="AE8" i="1"/>
  <c r="AC8" i="1"/>
  <c r="AC44" i="1"/>
  <c r="AD122" i="1"/>
  <c r="Y94" i="1"/>
  <c r="AC63" i="1"/>
  <c r="AC105" i="1"/>
  <c r="AC137" i="1"/>
  <c r="Y126" i="1"/>
  <c r="AD106" i="1"/>
  <c r="AD138" i="1"/>
  <c r="X96" i="1"/>
  <c r="Y63" i="1"/>
  <c r="Y92" i="1"/>
  <c r="AC51" i="1"/>
  <c r="T121" i="1"/>
  <c r="U121" i="1" s="1"/>
  <c r="AE121" i="1"/>
  <c r="Z121" i="1"/>
  <c r="T101" i="1"/>
  <c r="U101" i="1" s="1"/>
  <c r="AE101" i="1"/>
  <c r="Z101" i="1"/>
  <c r="T81" i="1"/>
  <c r="U81" i="1" s="1"/>
  <c r="AE81" i="1"/>
  <c r="Z81" i="1"/>
  <c r="T59" i="1"/>
  <c r="U59" i="1" s="1"/>
  <c r="Z59" i="1"/>
  <c r="AE59" i="1"/>
  <c r="T23" i="1"/>
  <c r="U23" i="1" s="1"/>
  <c r="AC23" i="1"/>
  <c r="AD23" i="1"/>
  <c r="AE23" i="1"/>
  <c r="T15" i="1"/>
  <c r="U15" i="1" s="1"/>
  <c r="AC15" i="1"/>
  <c r="AE15" i="1"/>
  <c r="AD15" i="1"/>
  <c r="T7" i="1"/>
  <c r="U7" i="1" s="1"/>
  <c r="AC7" i="1"/>
  <c r="AD7" i="1"/>
  <c r="AE7" i="1"/>
  <c r="AD52" i="1"/>
  <c r="AD108" i="1"/>
  <c r="Y90" i="1"/>
  <c r="Y121" i="1"/>
  <c r="AD31" i="1"/>
  <c r="AD73" i="1"/>
  <c r="AD117" i="1"/>
  <c r="Y137" i="1"/>
  <c r="AD32" i="1"/>
  <c r="AC75" i="1"/>
  <c r="AC118" i="1"/>
  <c r="AC142" i="1"/>
  <c r="Y104" i="1"/>
  <c r="X138" i="1"/>
  <c r="X73" i="1"/>
  <c r="X36" i="1"/>
  <c r="AD144" i="1"/>
  <c r="AC59" i="1"/>
  <c r="AD101" i="1"/>
  <c r="Y81" i="1"/>
  <c r="Y44" i="1"/>
  <c r="T145" i="1"/>
  <c r="U145" i="1" s="1"/>
  <c r="AE145" i="1"/>
  <c r="Z145" i="1"/>
  <c r="T93" i="1"/>
  <c r="U93" i="1" s="1"/>
  <c r="Z93" i="1"/>
  <c r="AE93" i="1"/>
  <c r="T133" i="1"/>
  <c r="U133" i="1" s="1"/>
  <c r="AE133" i="1"/>
  <c r="Z133" i="1"/>
  <c r="T107" i="1"/>
  <c r="U107" i="1" s="1"/>
  <c r="AE107" i="1"/>
  <c r="Z107" i="1"/>
  <c r="X107" i="1"/>
  <c r="Y107" i="1"/>
  <c r="T113" i="1"/>
  <c r="U113" i="1" s="1"/>
  <c r="AE113" i="1"/>
  <c r="Z113" i="1"/>
  <c r="T89" i="1"/>
  <c r="U89" i="1" s="1"/>
  <c r="AE89" i="1"/>
  <c r="Z89" i="1"/>
  <c r="T51" i="1"/>
  <c r="U51" i="1" s="1"/>
  <c r="Z51" i="1"/>
  <c r="AE51" i="1"/>
  <c r="AC90" i="1"/>
  <c r="T144" i="1"/>
  <c r="U144" i="1" s="1"/>
  <c r="AE144" i="1"/>
  <c r="Z144" i="1"/>
  <c r="T92" i="1"/>
  <c r="U92" i="1" s="1"/>
  <c r="AE92" i="1"/>
  <c r="Z92" i="1"/>
  <c r="T132" i="1"/>
  <c r="U132" i="1" s="1"/>
  <c r="AE132" i="1"/>
  <c r="Z132" i="1"/>
  <c r="T128" i="1"/>
  <c r="U128" i="1" s="1"/>
  <c r="AE128" i="1"/>
  <c r="Z128" i="1"/>
  <c r="T120" i="1"/>
  <c r="U120" i="1" s="1"/>
  <c r="Z120" i="1"/>
  <c r="AE120" i="1"/>
  <c r="T112" i="1"/>
  <c r="U112" i="1" s="1"/>
  <c r="Z112" i="1"/>
  <c r="AE112" i="1"/>
  <c r="T100" i="1"/>
  <c r="U100" i="1" s="1"/>
  <c r="Z100" i="1"/>
  <c r="AE100" i="1"/>
  <c r="T88" i="1"/>
  <c r="U88" i="1" s="1"/>
  <c r="Z88" i="1"/>
  <c r="AE88" i="1"/>
  <c r="T79" i="1"/>
  <c r="U79" i="1" s="1"/>
  <c r="AE79" i="1"/>
  <c r="Z79" i="1"/>
  <c r="T50" i="1"/>
  <c r="U50" i="1" s="1"/>
  <c r="AE50" i="1"/>
  <c r="Z50" i="1"/>
  <c r="T22" i="1"/>
  <c r="U22" i="1" s="1"/>
  <c r="AE22" i="1"/>
  <c r="AC22" i="1"/>
  <c r="AD22" i="1"/>
  <c r="T14" i="1"/>
  <c r="U14" i="1" s="1"/>
  <c r="AC14" i="1"/>
  <c r="AD14" i="1"/>
  <c r="AE14" i="1"/>
  <c r="T6" i="1"/>
  <c r="U6" i="1" s="1"/>
  <c r="AE6" i="1"/>
  <c r="AC6" i="1"/>
  <c r="AD6" i="1"/>
  <c r="AC52" i="1"/>
  <c r="AD90" i="1"/>
  <c r="AC108" i="1"/>
  <c r="Y79" i="1"/>
  <c r="X120" i="1"/>
  <c r="X51" i="1"/>
  <c r="X90" i="1"/>
  <c r="X121" i="1"/>
  <c r="AC30" i="1"/>
  <c r="AC71" i="1"/>
  <c r="AC116" i="1"/>
  <c r="AD140" i="1"/>
  <c r="AC31" i="1"/>
  <c r="AC73" i="1"/>
  <c r="AC117" i="1"/>
  <c r="X137" i="1"/>
  <c r="AC32" i="1"/>
  <c r="AD75" i="1"/>
  <c r="AD142" i="1"/>
  <c r="Y62" i="1"/>
  <c r="X104" i="1"/>
  <c r="Y73" i="1"/>
  <c r="AC79" i="1"/>
  <c r="AC120" i="1"/>
  <c r="AC144" i="1"/>
  <c r="X144" i="1"/>
  <c r="AD59" i="1"/>
  <c r="AC101" i="1"/>
  <c r="AC133" i="1"/>
  <c r="X81" i="1"/>
  <c r="X44" i="1"/>
  <c r="T2" i="1"/>
  <c r="U2" i="1" s="1"/>
  <c r="AC2" i="1"/>
  <c r="AE2" i="1"/>
  <c r="AD2" i="1"/>
  <c r="T143" i="1"/>
  <c r="U143" i="1" s="1"/>
  <c r="AE143" i="1"/>
  <c r="Z143" i="1"/>
  <c r="T139" i="1"/>
  <c r="U139" i="1" s="1"/>
  <c r="AE139" i="1"/>
  <c r="Z139" i="1"/>
  <c r="T131" i="1"/>
  <c r="U131" i="1" s="1"/>
  <c r="AE131" i="1"/>
  <c r="Z131" i="1"/>
  <c r="T127" i="1"/>
  <c r="U127" i="1" s="1"/>
  <c r="AE127" i="1"/>
  <c r="Z127" i="1"/>
  <c r="T119" i="1"/>
  <c r="U119" i="1" s="1"/>
  <c r="AE119" i="1"/>
  <c r="Z119" i="1"/>
  <c r="T111" i="1"/>
  <c r="U111" i="1" s="1"/>
  <c r="AE111" i="1"/>
  <c r="Z111" i="1"/>
  <c r="T99" i="1"/>
  <c r="U99" i="1" s="1"/>
  <c r="AE99" i="1"/>
  <c r="Z99" i="1"/>
  <c r="T87" i="1"/>
  <c r="U87" i="1" s="1"/>
  <c r="AE87" i="1"/>
  <c r="Z87" i="1"/>
  <c r="T77" i="1"/>
  <c r="U77" i="1" s="1"/>
  <c r="AE77" i="1"/>
  <c r="Z77" i="1"/>
  <c r="T65" i="1"/>
  <c r="U65" i="1" s="1"/>
  <c r="AE65" i="1"/>
  <c r="Z65" i="1"/>
  <c r="T57" i="1"/>
  <c r="U57" i="1" s="1"/>
  <c r="AE57" i="1"/>
  <c r="Z57" i="1"/>
  <c r="T49" i="1"/>
  <c r="U49" i="1" s="1"/>
  <c r="AE49" i="1"/>
  <c r="Z49" i="1"/>
  <c r="T37" i="1"/>
  <c r="U37" i="1" s="1"/>
  <c r="Z37" i="1"/>
  <c r="AE37" i="1"/>
  <c r="AC37" i="1"/>
  <c r="AD37" i="1"/>
  <c r="T21" i="1"/>
  <c r="U21" i="1" s="1"/>
  <c r="AE21" i="1"/>
  <c r="AC21" i="1"/>
  <c r="AD21" i="1"/>
  <c r="T13" i="1"/>
  <c r="U13" i="1" s="1"/>
  <c r="AE13" i="1"/>
  <c r="AC13" i="1"/>
  <c r="AD13" i="1"/>
  <c r="T5" i="1"/>
  <c r="U5" i="1" s="1"/>
  <c r="AE5" i="1"/>
  <c r="AC5" i="1"/>
  <c r="AD5" i="1"/>
  <c r="AC102" i="1"/>
  <c r="AC134" i="1"/>
  <c r="X50" i="1"/>
  <c r="X88" i="1"/>
  <c r="X128" i="1"/>
  <c r="AC29" i="1"/>
  <c r="AC70" i="1"/>
  <c r="Y95" i="1"/>
  <c r="X122" i="1"/>
  <c r="AD46" i="1"/>
  <c r="Y52" i="1"/>
  <c r="AD47" i="1"/>
  <c r="AD125" i="1"/>
  <c r="AD149" i="1"/>
  <c r="Y70" i="1"/>
  <c r="X115" i="1"/>
  <c r="AD127" i="1"/>
  <c r="AD48" i="1"/>
  <c r="X34" i="1"/>
  <c r="X71" i="1"/>
  <c r="X116" i="1"/>
  <c r="AD77" i="1"/>
  <c r="AD139" i="1"/>
  <c r="Y97" i="1"/>
  <c r="Y105" i="1"/>
  <c r="AC50" i="1"/>
  <c r="AD88" i="1"/>
  <c r="AC128" i="1"/>
  <c r="AC27" i="1"/>
  <c r="AD113" i="1"/>
  <c r="AD93" i="1"/>
  <c r="Y57" i="1"/>
  <c r="X99" i="1"/>
  <c r="Y133" i="1"/>
  <c r="Y101" i="1"/>
  <c r="Y102" i="1"/>
  <c r="T3" i="1"/>
  <c r="U3" i="1" s="1"/>
  <c r="AC3" i="1"/>
  <c r="AD3" i="1"/>
  <c r="AE3" i="1"/>
  <c r="T142" i="1"/>
  <c r="U142" i="1" s="1"/>
  <c r="AE142" i="1"/>
  <c r="Z142" i="1"/>
  <c r="T138" i="1"/>
  <c r="U138" i="1" s="1"/>
  <c r="Z138" i="1"/>
  <c r="AE138" i="1"/>
  <c r="T130" i="1"/>
  <c r="U130" i="1" s="1"/>
  <c r="AE130" i="1"/>
  <c r="Z130" i="1"/>
  <c r="T126" i="1"/>
  <c r="U126" i="1" s="1"/>
  <c r="AE126" i="1"/>
  <c r="Z126" i="1"/>
  <c r="T118" i="1"/>
  <c r="U118" i="1" s="1"/>
  <c r="AE118" i="1"/>
  <c r="Z118" i="1"/>
  <c r="T106" i="1"/>
  <c r="U106" i="1" s="1"/>
  <c r="Z106" i="1"/>
  <c r="AE106" i="1"/>
  <c r="T98" i="1"/>
  <c r="U98" i="1" s="1"/>
  <c r="Z98" i="1"/>
  <c r="AE98" i="1"/>
  <c r="T86" i="1"/>
  <c r="U86" i="1" s="1"/>
  <c r="AE86" i="1"/>
  <c r="Z86" i="1"/>
  <c r="T75" i="1"/>
  <c r="U75" i="1" s="1"/>
  <c r="AE75" i="1"/>
  <c r="Z75" i="1"/>
  <c r="T64" i="1"/>
  <c r="U64" i="1" s="1"/>
  <c r="AE64" i="1"/>
  <c r="Z64" i="1"/>
  <c r="T56" i="1"/>
  <c r="U56" i="1" s="1"/>
  <c r="AE56" i="1"/>
  <c r="Z56" i="1"/>
  <c r="T48" i="1"/>
  <c r="U48" i="1" s="1"/>
  <c r="AE48" i="1"/>
  <c r="Z48" i="1"/>
  <c r="T36" i="1"/>
  <c r="U36" i="1" s="1"/>
  <c r="AE36" i="1"/>
  <c r="Z36" i="1"/>
  <c r="AD36" i="1"/>
  <c r="AC36" i="1"/>
  <c r="T20" i="1"/>
  <c r="U20" i="1" s="1"/>
  <c r="AD20" i="1"/>
  <c r="AC20" i="1"/>
  <c r="AE20" i="1"/>
  <c r="T12" i="1"/>
  <c r="U12" i="1" s="1"/>
  <c r="AD12" i="1"/>
  <c r="AC12" i="1"/>
  <c r="AE12" i="1"/>
  <c r="T4" i="1"/>
  <c r="U4" i="1" s="1"/>
  <c r="AD4" i="1"/>
  <c r="AC4" i="1"/>
  <c r="AE4" i="1"/>
  <c r="AD102" i="1"/>
  <c r="AD134" i="1"/>
  <c r="Y122" i="1"/>
  <c r="X52" i="1"/>
  <c r="AC47" i="1"/>
  <c r="AC125" i="1"/>
  <c r="AC149" i="1"/>
  <c r="Y56" i="1"/>
  <c r="AC48" i="1"/>
  <c r="AD86" i="1"/>
  <c r="AD126" i="1"/>
  <c r="Y116" i="1"/>
  <c r="Y142" i="1"/>
  <c r="X97" i="1"/>
  <c r="Y75" i="1"/>
  <c r="AC88" i="1"/>
  <c r="AD128" i="1"/>
  <c r="X48" i="1"/>
  <c r="AD27" i="1"/>
  <c r="AC113" i="1"/>
  <c r="AC93" i="1"/>
  <c r="X133" i="1"/>
  <c r="X101" i="1"/>
  <c r="X102" i="1"/>
  <c r="T129" i="1"/>
  <c r="U129" i="1" s="1"/>
  <c r="Z129" i="1"/>
  <c r="AE129" i="1"/>
  <c r="T105" i="1"/>
  <c r="U105" i="1" s="1"/>
  <c r="Z105" i="1"/>
  <c r="AE105" i="1"/>
  <c r="T35" i="1"/>
  <c r="U35" i="1" s="1"/>
  <c r="Z35" i="1"/>
  <c r="AE35" i="1"/>
  <c r="AC35" i="1"/>
  <c r="AD35" i="1"/>
  <c r="T11" i="1"/>
  <c r="U11" i="1" s="1"/>
  <c r="AC11" i="1"/>
  <c r="AD11" i="1"/>
  <c r="AE11" i="1"/>
  <c r="AD28" i="1"/>
  <c r="AC114" i="1"/>
  <c r="AC94" i="1"/>
  <c r="X134" i="1"/>
  <c r="X89" i="1"/>
  <c r="Y114" i="1"/>
  <c r="AD97" i="1"/>
  <c r="AD129" i="1"/>
  <c r="Y149" i="1"/>
  <c r="X117" i="1"/>
  <c r="Y98" i="1"/>
  <c r="AD56" i="1"/>
  <c r="AC98" i="1"/>
  <c r="AC130" i="1"/>
  <c r="X47" i="1"/>
  <c r="Y125" i="1"/>
  <c r="Y118" i="1"/>
  <c r="Y86" i="1"/>
  <c r="AD100" i="1"/>
  <c r="AD132" i="1"/>
  <c r="Y64" i="1"/>
  <c r="AD81" i="1"/>
  <c r="AD121" i="1"/>
  <c r="AD145" i="1"/>
  <c r="Y93" i="1"/>
  <c r="Y110" i="1"/>
  <c r="T27" i="1"/>
  <c r="U27" i="1" s="1"/>
  <c r="X27" i="1"/>
  <c r="Z27" i="1"/>
  <c r="Y27" i="1"/>
  <c r="T33" i="1"/>
  <c r="U33" i="1" s="1"/>
  <c r="X33" i="1"/>
  <c r="Y33" i="1"/>
  <c r="Z33" i="1"/>
  <c r="T32" i="1"/>
  <c r="U32" i="1" s="1"/>
  <c r="X32" i="1"/>
  <c r="Y32" i="1"/>
  <c r="Z32" i="1"/>
  <c r="T31" i="1"/>
  <c r="U31" i="1" s="1"/>
  <c r="Z31" i="1"/>
  <c r="X31" i="1"/>
  <c r="Y31" i="1"/>
  <c r="T30" i="1"/>
  <c r="U30" i="1" s="1"/>
  <c r="X30" i="1"/>
  <c r="Y30" i="1"/>
  <c r="Z30" i="1"/>
  <c r="T29" i="1"/>
  <c r="U29" i="1" s="1"/>
  <c r="Z29" i="1"/>
  <c r="X29" i="1"/>
  <c r="Y29" i="1"/>
  <c r="T28" i="1"/>
  <c r="U28" i="1" s="1"/>
  <c r="X28" i="1"/>
  <c r="Y28" i="1"/>
  <c r="Z28" i="1"/>
  <c r="AE26" i="1"/>
  <c r="Z26" i="1"/>
  <c r="Y26" i="1"/>
  <c r="AD26" i="1"/>
  <c r="AC26" i="1"/>
  <c r="X26" i="1"/>
  <c r="T26" i="1"/>
  <c r="U26" i="1" s="1"/>
  <c r="T141" i="1" l="1"/>
  <c r="U141" i="1" s="1"/>
  <c r="AE55" i="1"/>
  <c r="AC55" i="1"/>
  <c r="Z55" i="1"/>
  <c r="AD55" i="1"/>
  <c r="X55" i="1"/>
  <c r="AE141" i="1"/>
  <c r="Y141" i="1"/>
  <c r="Z141" i="1"/>
  <c r="AC141" i="1"/>
  <c r="AD141" i="1"/>
  <c r="X43" i="1" l="1"/>
  <c r="T43" i="1"/>
  <c r="Z43" i="1"/>
  <c r="AE43" i="1"/>
  <c r="Y43" i="1"/>
  <c r="AD43" i="1"/>
  <c r="AC43" i="1"/>
  <c r="X42" i="1"/>
  <c r="AD42" i="1"/>
  <c r="Y42" i="1"/>
  <c r="T42" i="1"/>
  <c r="AC42" i="1"/>
  <c r="AE42" i="1"/>
  <c r="Z42" i="1"/>
  <c r="AC82" i="1"/>
  <c r="AD82" i="1"/>
  <c r="Z82" i="1"/>
  <c r="T82" i="1"/>
  <c r="AE82" i="1"/>
  <c r="X82" i="1"/>
  <c r="Y82" i="1"/>
  <c r="Y83" i="1"/>
  <c r="T83" i="1"/>
  <c r="Z83" i="1"/>
  <c r="AE83" i="1"/>
  <c r="AD83" i="1"/>
  <c r="X83" i="1"/>
  <c r="AC83" i="1"/>
  <c r="AC61" i="1"/>
  <c r="AE61" i="1"/>
  <c r="X61" i="1"/>
  <c r="AD61" i="1"/>
  <c r="Y61" i="1"/>
  <c r="T61" i="1"/>
  <c r="Z61" i="1"/>
  <c r="Y147" i="1"/>
  <c r="AC147" i="1"/>
  <c r="AD147" i="1"/>
  <c r="X147" i="1"/>
  <c r="AE147" i="1"/>
  <c r="Z147" i="1"/>
  <c r="T147" i="1"/>
  <c r="AD66" i="1"/>
  <c r="AE66" i="1"/>
  <c r="AC66" i="1"/>
  <c r="T66" i="1"/>
  <c r="Z66" i="1"/>
  <c r="Y66" i="1"/>
  <c r="X66" i="1"/>
  <c r="AC69" i="1"/>
  <c r="T69" i="1"/>
  <c r="Z69" i="1"/>
  <c r="Y69" i="1"/>
  <c r="X69" i="1"/>
  <c r="AE69" i="1"/>
  <c r="AD69" i="1"/>
  <c r="AD148" i="1"/>
  <c r="Y148" i="1"/>
  <c r="X148" i="1"/>
  <c r="AC148" i="1"/>
  <c r="AE148" i="1"/>
  <c r="Z148" i="1"/>
  <c r="T148" i="1"/>
  <c r="T85" i="1"/>
  <c r="Z85" i="1"/>
  <c r="AE85" i="1"/>
  <c r="AC85" i="1"/>
  <c r="X85" i="1"/>
  <c r="Y85" i="1"/>
  <c r="AD85" i="1"/>
  <c r="Y45" i="1"/>
  <c r="X45" i="1"/>
  <c r="AC45" i="1"/>
  <c r="T45" i="1"/>
  <c r="Z45" i="1"/>
  <c r="AE45" i="1"/>
  <c r="AD45" i="1"/>
  <c r="AC58" i="1"/>
  <c r="X58" i="1"/>
  <c r="T58" i="1"/>
  <c r="AD58" i="1"/>
  <c r="AE58" i="1"/>
  <c r="Y58" i="1"/>
  <c r="Z58" i="1"/>
  <c r="AC84" i="1"/>
  <c r="T84" i="1"/>
  <c r="Z84" i="1"/>
  <c r="X84" i="1"/>
  <c r="AE84" i="1"/>
  <c r="Y84" i="1"/>
  <c r="AD84" i="1"/>
  <c r="Y60" i="1"/>
  <c r="AE60" i="1"/>
  <c r="AC60" i="1"/>
  <c r="Z60" i="1"/>
  <c r="X60" i="1"/>
  <c r="AD60" i="1"/>
  <c r="T60" i="1"/>
  <c r="Z67" i="1"/>
  <c r="AE67" i="1"/>
  <c r="AD67" i="1"/>
  <c r="AC67" i="1"/>
  <c r="X67" i="1"/>
  <c r="Y67" i="1"/>
  <c r="T67" i="1"/>
  <c r="AC146" i="1"/>
  <c r="AE146" i="1"/>
  <c r="Z146" i="1"/>
  <c r="X146" i="1"/>
  <c r="AD146" i="1"/>
  <c r="Y146" i="1"/>
  <c r="T146" i="1"/>
  <c r="AC124" i="1"/>
  <c r="AD124" i="1"/>
  <c r="Y124" i="1"/>
  <c r="X124" i="1"/>
  <c r="T124" i="1"/>
  <c r="AE124" i="1"/>
  <c r="Z124" i="1"/>
  <c r="AC123" i="1"/>
  <c r="T123" i="1"/>
  <c r="Y123" i="1"/>
  <c r="AE123" i="1"/>
  <c r="Z123" i="1"/>
  <c r="AD123" i="1"/>
  <c r="X123" i="1"/>
  <c r="U42" i="1" l="1"/>
  <c r="U43" i="1"/>
  <c r="U45" i="1"/>
  <c r="U69" i="1"/>
  <c r="U82" i="1"/>
  <c r="U60" i="1"/>
  <c r="U148" i="1"/>
  <c r="U83" i="1"/>
  <c r="U85" i="1"/>
  <c r="U146" i="1"/>
  <c r="U67" i="1"/>
  <c r="U58" i="1"/>
  <c r="U147" i="1"/>
  <c r="U84" i="1"/>
  <c r="U66" i="1"/>
  <c r="U61" i="1"/>
  <c r="U124" i="1"/>
  <c r="U123" i="1"/>
</calcChain>
</file>

<file path=xl/sharedStrings.xml><?xml version="1.0" encoding="utf-8"?>
<sst xmlns="http://schemas.openxmlformats.org/spreadsheetml/2006/main" count="2368" uniqueCount="1026">
  <si>
    <t>16-01005-000</t>
  </si>
  <si>
    <t>16-01010-000</t>
  </si>
  <si>
    <t>16-01212-000</t>
  </si>
  <si>
    <t>16-01510-000</t>
  </si>
  <si>
    <t>16-01515-000</t>
  </si>
  <si>
    <t>16-02010-000</t>
  </si>
  <si>
    <t>16-02412-000</t>
  </si>
  <si>
    <t>16-03015-000</t>
  </si>
  <si>
    <t>16-01005-100</t>
  </si>
  <si>
    <t>16-01010-100</t>
  </si>
  <si>
    <t>16-01212-100</t>
  </si>
  <si>
    <t>16-01510-100</t>
  </si>
  <si>
    <t>16-01515-100</t>
  </si>
  <si>
    <t>16-02010-100</t>
  </si>
  <si>
    <t>16-02412-100</t>
  </si>
  <si>
    <t>16-03015-100</t>
  </si>
  <si>
    <t>16-01005-020</t>
  </si>
  <si>
    <t>16-01010-020</t>
  </si>
  <si>
    <t>16-01212-020</t>
  </si>
  <si>
    <t>16-01510-020</t>
  </si>
  <si>
    <t>16-01515-020</t>
  </si>
  <si>
    <t>16-02010-020</t>
  </si>
  <si>
    <t>16-02412-020</t>
  </si>
  <si>
    <t>16-03015-020</t>
  </si>
  <si>
    <t>16-01005-120</t>
  </si>
  <si>
    <t>16-01010-120</t>
  </si>
  <si>
    <t>16-01212-120</t>
  </si>
  <si>
    <t>16-01510-120</t>
  </si>
  <si>
    <t>16-01515-120</t>
  </si>
  <si>
    <t>16-02010-120</t>
  </si>
  <si>
    <t>16-02412-120</t>
  </si>
  <si>
    <t>16-03015-120</t>
  </si>
  <si>
    <t>16-10600-000</t>
  </si>
  <si>
    <t>16-10800-000</t>
  </si>
  <si>
    <t>16-11000-000</t>
  </si>
  <si>
    <t>16-11200-000</t>
  </si>
  <si>
    <t>00-B0010-001</t>
  </si>
  <si>
    <t>00-B0010-002</t>
  </si>
  <si>
    <t>00-B0010-003</t>
  </si>
  <si>
    <t>00-B0010-023</t>
  </si>
  <si>
    <t>00-B0010-013</t>
  </si>
  <si>
    <t>00-B0010-033</t>
  </si>
  <si>
    <t>00-B0010-004</t>
  </si>
  <si>
    <t>16-30037-000</t>
  </si>
  <si>
    <t>D16-03001-008</t>
  </si>
  <si>
    <t>16-30090-000</t>
  </si>
  <si>
    <t>D16-03001-000</t>
  </si>
  <si>
    <t>16-30090-001</t>
  </si>
  <si>
    <t>D16-03001-003</t>
  </si>
  <si>
    <t>16-30090-002</t>
  </si>
  <si>
    <t>D16-03001-004</t>
  </si>
  <si>
    <t>16-30090-003</t>
  </si>
  <si>
    <t>D16-03001-002</t>
  </si>
  <si>
    <t>16-30140-003</t>
  </si>
  <si>
    <t>D16-03008-000</t>
  </si>
  <si>
    <t>16-30300-004</t>
  </si>
  <si>
    <t>16-30500-004</t>
  </si>
  <si>
    <t>16-30090-004</t>
  </si>
  <si>
    <t>16-30150-004</t>
  </si>
  <si>
    <t>16-30150-001</t>
  </si>
  <si>
    <t>16-30200-000</t>
  </si>
  <si>
    <t>D16-03002-000</t>
  </si>
  <si>
    <t>16-30200-001</t>
  </si>
  <si>
    <t>D16-03002-001</t>
  </si>
  <si>
    <t>16-30400-000</t>
  </si>
  <si>
    <t>D16-03003-000</t>
  </si>
  <si>
    <t>16-30400-001</t>
  </si>
  <si>
    <t>D16-03003-001</t>
  </si>
  <si>
    <t>16-30600-000</t>
  </si>
  <si>
    <t>D16-03004-000</t>
  </si>
  <si>
    <t>16-30600-001</t>
  </si>
  <si>
    <t>D16-03004-001</t>
  </si>
  <si>
    <t>16-30225-001</t>
  </si>
  <si>
    <t>16-30225-002</t>
  </si>
  <si>
    <t>S16-30500-102</t>
  </si>
  <si>
    <t>16-35250-000</t>
  </si>
  <si>
    <t>D16-03006-000</t>
  </si>
  <si>
    <t>16-40050-000</t>
  </si>
  <si>
    <t>D16-04002-000</t>
  </si>
  <si>
    <t>16-40100-000</t>
  </si>
  <si>
    <t>D16-04002-001</t>
  </si>
  <si>
    <t>16-40150-000</t>
  </si>
  <si>
    <t>D16-04002-002</t>
  </si>
  <si>
    <t>16-40200-000</t>
  </si>
  <si>
    <t>D16-04002-003</t>
  </si>
  <si>
    <t>16-40050-001</t>
  </si>
  <si>
    <t>D16-04003-026</t>
  </si>
  <si>
    <t>16-50011-000</t>
  </si>
  <si>
    <t>16-50011-004</t>
  </si>
  <si>
    <t>D16-05001-004</t>
  </si>
  <si>
    <t>16-50055-000</t>
  </si>
  <si>
    <t>D16-05015-000</t>
  </si>
  <si>
    <t>16-50025-001</t>
  </si>
  <si>
    <t>D16-05003-000</t>
  </si>
  <si>
    <t>16-50040-001</t>
  </si>
  <si>
    <t>D16-05003-001</t>
  </si>
  <si>
    <t>16-50015-000</t>
  </si>
  <si>
    <t>D16-05009-000</t>
  </si>
  <si>
    <t>16-52045-000</t>
  </si>
  <si>
    <t>16-52075-000</t>
  </si>
  <si>
    <t>16-57575-000</t>
  </si>
  <si>
    <t>D16-05010-000</t>
  </si>
  <si>
    <t>16-51587-003</t>
  </si>
  <si>
    <t>D16-05013-010</t>
  </si>
  <si>
    <t>16-60041-001</t>
  </si>
  <si>
    <t>D16-06001-000</t>
  </si>
  <si>
    <t>16-60041-002</t>
  </si>
  <si>
    <t>D16-06002-000</t>
  </si>
  <si>
    <t>16-60042-001</t>
  </si>
  <si>
    <t>D16-06004-000</t>
  </si>
  <si>
    <t>16-60042-002</t>
  </si>
  <si>
    <t>D16-06005-000</t>
  </si>
  <si>
    <t>16-60003-000</t>
  </si>
  <si>
    <t>D16-06003-000</t>
  </si>
  <si>
    <t>16-60003-002</t>
  </si>
  <si>
    <t>D16-06006-000</t>
  </si>
  <si>
    <t>16-60009-000</t>
  </si>
  <si>
    <t>D16-06009-000</t>
  </si>
  <si>
    <t>16-85013-000</t>
  </si>
  <si>
    <t xml:space="preserve">D16-07005-000 </t>
  </si>
  <si>
    <t>16-85017-000</t>
  </si>
  <si>
    <t>16-85013-001</t>
  </si>
  <si>
    <t xml:space="preserve">D16-07005-001 </t>
  </si>
  <si>
    <t>16-85013-002</t>
  </si>
  <si>
    <t>D16-07005-002</t>
  </si>
  <si>
    <t>16-86001-001</t>
  </si>
  <si>
    <t>D16-08001-000</t>
  </si>
  <si>
    <t>16-86001-002</t>
  </si>
  <si>
    <t>D16-08002-000</t>
  </si>
  <si>
    <t>16-86001-100</t>
  </si>
  <si>
    <t>D16-08005-000</t>
  </si>
  <si>
    <t>16-87004-000</t>
  </si>
  <si>
    <t>16-87004-001</t>
  </si>
  <si>
    <t>16-87004-002</t>
  </si>
  <si>
    <t>16-87004-003</t>
  </si>
  <si>
    <t>16-87003-000</t>
  </si>
  <si>
    <t>D16-07003-000</t>
  </si>
  <si>
    <t>16-87011-010</t>
  </si>
  <si>
    <t>D16-07011-000</t>
  </si>
  <si>
    <t>16-87011-011</t>
  </si>
  <si>
    <t>16-87011-012</t>
  </si>
  <si>
    <t>16-87011-019</t>
  </si>
  <si>
    <t>D16-07011-001</t>
  </si>
  <si>
    <t>16-87011-003</t>
  </si>
  <si>
    <t>16-87011-004</t>
  </si>
  <si>
    <t>D16-07011-005</t>
  </si>
  <si>
    <t>16-87011-005</t>
  </si>
  <si>
    <t>D16-07011-006</t>
  </si>
  <si>
    <t>16-87011-020</t>
  </si>
  <si>
    <t>16-87020-000</t>
  </si>
  <si>
    <t>16-97020-002</t>
  </si>
  <si>
    <t>16-88017-000</t>
  </si>
  <si>
    <t>D16-07008-000</t>
  </si>
  <si>
    <t>16-89013-000</t>
  </si>
  <si>
    <t>D16-07009-000</t>
  </si>
  <si>
    <t>16-89013-001</t>
  </si>
  <si>
    <t>D16-07009-001</t>
  </si>
  <si>
    <t>16-89013-002</t>
  </si>
  <si>
    <t>D16-07009-002</t>
  </si>
  <si>
    <t>00-86012-000</t>
  </si>
  <si>
    <t>00-86015-000</t>
  </si>
  <si>
    <t>00-06015-000</t>
  </si>
  <si>
    <t>16-90001-000</t>
  </si>
  <si>
    <t>D16-09001-000</t>
  </si>
  <si>
    <t>16-90001-050</t>
  </si>
  <si>
    <t>16-90001-100</t>
  </si>
  <si>
    <t>16-90050-000</t>
  </si>
  <si>
    <t>D16-09004-000</t>
  </si>
  <si>
    <t>16-90050-001</t>
  </si>
  <si>
    <t>D16-09004-003</t>
  </si>
  <si>
    <t>16-90050-002</t>
  </si>
  <si>
    <t>D16-09004-002</t>
  </si>
  <si>
    <t>16-90080-000</t>
  </si>
  <si>
    <t>D16-09003-000</t>
  </si>
  <si>
    <t>16-90080-001</t>
  </si>
  <si>
    <t>D16-09003-002</t>
  </si>
  <si>
    <t>16-90080-002</t>
  </si>
  <si>
    <t>D16-09003-003</t>
  </si>
  <si>
    <t>16-92010-000</t>
  </si>
  <si>
    <t>D16-04005-000</t>
  </si>
  <si>
    <t>16-92010-001</t>
  </si>
  <si>
    <t>D16-04005-003</t>
  </si>
  <si>
    <t>16-91510-001</t>
  </si>
  <si>
    <t>D16-03005-001</t>
  </si>
  <si>
    <t>16-91510-002</t>
  </si>
  <si>
    <t>D16-03005-004</t>
  </si>
  <si>
    <t>00-C0001-000</t>
  </si>
  <si>
    <t>16-C0002-000</t>
  </si>
  <si>
    <t>D16-10002-000</t>
  </si>
  <si>
    <t>00-C0004-000</t>
  </si>
  <si>
    <t>D00-10004-000</t>
  </si>
  <si>
    <t>00-C0007-000</t>
  </si>
  <si>
    <t>D00-10007-000</t>
  </si>
  <si>
    <t>16-C0008-008</t>
  </si>
  <si>
    <t>D16-10008-000</t>
  </si>
  <si>
    <t>16-C0008-006</t>
  </si>
  <si>
    <t>D16-10008-001</t>
  </si>
  <si>
    <t>16-C0008-004</t>
  </si>
  <si>
    <t>D16-10008-002</t>
  </si>
  <si>
    <t>00-C0009-000</t>
  </si>
  <si>
    <t>D00-10009-000</t>
  </si>
  <si>
    <t>16-C1002-000</t>
  </si>
  <si>
    <t>D16-11001-000</t>
  </si>
  <si>
    <t>16-C5050-000</t>
  </si>
  <si>
    <t>Размеры, мм</t>
  </si>
  <si>
    <t>Материал</t>
  </si>
  <si>
    <t>Валовый доход без НДС, USD</t>
  </si>
  <si>
    <t>Цена Siegmund август, EUR</t>
  </si>
  <si>
    <t>Цена Siegmund август, USD</t>
  </si>
  <si>
    <t>Рентабельность, %</t>
  </si>
  <si>
    <t>3D сварочный стол 1000x1000x100, 16 система, BASIC, без линейки, без азотирования, без опор</t>
  </si>
  <si>
    <t>1000x500x100</t>
  </si>
  <si>
    <t>без азотирования</t>
  </si>
  <si>
    <t>1000x1000x100</t>
  </si>
  <si>
    <t>3D сварочный стол 1200x1200x100, 16 система, BASIC, без линейки, без азотирования, без опор</t>
  </si>
  <si>
    <t>1200x1200x100</t>
  </si>
  <si>
    <t>3D сварочный стол 1500x1000x100, 16 система, BASIC, без линейки, без азотирования, без опор</t>
  </si>
  <si>
    <t>1500x1000x100</t>
  </si>
  <si>
    <t>3D сварочный стол 1500x1500x100, 16 система, BASIC, без линейки, без азотирования, без опор</t>
  </si>
  <si>
    <t>1500x1500x100</t>
  </si>
  <si>
    <t>3D сварочный стол 2000x1000x100, 16 система, BASIC, без линейки, без азотирования, без опор</t>
  </si>
  <si>
    <t>2000x1000x100</t>
  </si>
  <si>
    <t>3D сварочный стол 2400x1200x100, 16 система, BASIC, без линейки, без азотирования, без опор</t>
  </si>
  <si>
    <t>2400x1200x100</t>
  </si>
  <si>
    <t>3D сварочный стол 3000x1500x100, 16 система, BASIC, без линейки, без азотирования, без опор</t>
  </si>
  <si>
    <t>3000x1500x100</t>
  </si>
  <si>
    <t>3D сварочный стол 1000x500x100, 16 система, BASIC, без линейки, без азотирования, без опор</t>
  </si>
  <si>
    <t>3D сварочный стол 1000x500x100, 16 система, BASIC D, с линейкой, без азотирования, без опор</t>
  </si>
  <si>
    <t>3D сварочный стол 1000x1000x100, 16 система, BASIC D, с линейкой, без азотирования, без опор</t>
  </si>
  <si>
    <t>3D сварочный стол 1200x1200x100, 16 система, BASIC D, с линейкой, без азотирования, без опор</t>
  </si>
  <si>
    <t>3D сварочный стол 1500x1000x100, 16 система, BASIC D, с линейкой, без азотирования, без опор</t>
  </si>
  <si>
    <t>3D сварочный стол 1500x1500x100, 16 система, BASIC D, с линейкой, без азотирования, без опор</t>
  </si>
  <si>
    <t>3D сварочный стол 2000x1000x100, 16 система, BASIC D, с линейкой, без азотирования, без опор</t>
  </si>
  <si>
    <t>3D сварочный стол 2400x1200x100, 16 система, BASIC D, с линейкой, без азотирования, без опор</t>
  </si>
  <si>
    <t>3D сварочный стол 3000x1500x100, 16 система, BASIC D, с линейкой, без азотирования, без опор</t>
  </si>
  <si>
    <t>Стандартная опора 16 система</t>
  </si>
  <si>
    <t>Телескопическая опора 16 система</t>
  </si>
  <si>
    <t>Колесная опора 650 с тормозом 16 система</t>
  </si>
  <si>
    <t>Колесная опора 750 с тормозом 16 система</t>
  </si>
  <si>
    <t>Колесная опора 650 без тормоза 16 система</t>
  </si>
  <si>
    <t>Колесная опора 750 без тормоза 16 система</t>
  </si>
  <si>
    <t xml:space="preserve">конструкционная сталь Q355
</t>
  </si>
  <si>
    <t>Анкерная опора 16 система</t>
  </si>
  <si>
    <t>225x50x50</t>
  </si>
  <si>
    <t>160142.N</t>
  </si>
  <si>
    <t>160162.N</t>
  </si>
  <si>
    <t>160164.N</t>
  </si>
  <si>
    <t>160101.N</t>
  </si>
  <si>
    <t>160126.N</t>
  </si>
  <si>
    <t>160124.N</t>
  </si>
  <si>
    <t>160105.N</t>
  </si>
  <si>
    <t>160108.N</t>
  </si>
  <si>
    <t>160110.N</t>
  </si>
  <si>
    <t>160111.N</t>
  </si>
  <si>
    <t>160113.N</t>
  </si>
  <si>
    <t>160112.N</t>
  </si>
  <si>
    <t>160114.N</t>
  </si>
  <si>
    <t>160136.N</t>
  </si>
  <si>
    <t>160134.N</t>
  </si>
  <si>
    <t>160148.N</t>
  </si>
  <si>
    <t>160146.N</t>
  </si>
  <si>
    <t>160190.N</t>
  </si>
  <si>
    <t>150x100x50</t>
  </si>
  <si>
    <t>160301.N</t>
  </si>
  <si>
    <t>160300.N</t>
  </si>
  <si>
    <t>250x187.5x12</t>
  </si>
  <si>
    <t>500x100x100</t>
  </si>
  <si>
    <t>1000x100x100</t>
  </si>
  <si>
    <t>1500x100x100</t>
  </si>
  <si>
    <t>2000x100x100</t>
  </si>
  <si>
    <t>500x100x150</t>
  </si>
  <si>
    <t>160370.P</t>
  </si>
  <si>
    <t>160360.P</t>
  </si>
  <si>
    <t>160380.P</t>
  </si>
  <si>
    <t>160390.P</t>
  </si>
  <si>
    <t>нет</t>
  </si>
  <si>
    <t>115x25x12</t>
  </si>
  <si>
    <t>250x50x12</t>
  </si>
  <si>
    <t>400x50x12</t>
  </si>
  <si>
    <t>55x25x12</t>
  </si>
  <si>
    <t>150x25x12</t>
  </si>
  <si>
    <t>150X25x12</t>
  </si>
  <si>
    <t>75x75x12</t>
  </si>
  <si>
    <t xml:space="preserve">
150x87.5x12</t>
  </si>
  <si>
    <t>Быстрозажимной болт короткий 22-24, 16 система</t>
  </si>
  <si>
    <t>Быстрозажимной болт длинный 34-36, 16 система</t>
  </si>
  <si>
    <t>Быстрозажимной болт с потайной головкой короткий 22-24 мм, 16 система</t>
  </si>
  <si>
    <t>Быстрозажимной болт с потайной головкой длинный 34-36 мм, 16 система</t>
  </si>
  <si>
    <t xml:space="preserve">Соединительная гильза 17 мм, короткая с болтом, 16 система </t>
  </si>
  <si>
    <t xml:space="preserve">Соединительная гильза 25 мм, длинная с болтом, 16 система </t>
  </si>
  <si>
    <t>Установочный штифт, 16 система</t>
  </si>
  <si>
    <t>Струбцина 180° со шпинделем H130, 16 система</t>
  </si>
  <si>
    <t>Струбцина 180° со шпинделем H170, 16 система</t>
  </si>
  <si>
    <t>Вертикальное зажимное устройство с адаптером и потайным болтом, 16 система</t>
  </si>
  <si>
    <t>Шатунное зажимное устройство с адаптером и потайным болтом, 16 система</t>
  </si>
  <si>
    <t>Струбцина толкающего типа 90° со шпинделем H170, 16 система</t>
  </si>
  <si>
    <t>Струбцина толкающего типа 45° со шпинделем H130, 16 система</t>
  </si>
  <si>
    <t>Струбцина толкающего типа 45° с быстрозажимным шпинделем H130, 16 система</t>
  </si>
  <si>
    <t>Струбцина толкающего типа 45° с коротким шпинделем (SW14) H130, 16 система</t>
  </si>
  <si>
    <t>V-блок D50x35, 120°/90° для труб диаметром до 70 мм, сталь, 16 система</t>
  </si>
  <si>
    <t>V-блок D50x35, 120°/90° для труб диаметром до 70 мм, нержавеющая сталь, 16 система</t>
  </si>
  <si>
    <t>V-блок D80x50, 120°/90° для труб диаметром до 140 мм, сталь, 16 система</t>
  </si>
  <si>
    <t>V-блок D80x50, 120°/90° для труб диаметром до 140 мм, нержавеющая сталь, 16 система</t>
  </si>
  <si>
    <t>Дисковая щетка D16 с ручкой, нержавеющая сталь</t>
  </si>
  <si>
    <t>160858.X</t>
  </si>
  <si>
    <t>160877.X</t>
  </si>
  <si>
    <t>160876.X</t>
  </si>
  <si>
    <t>160401.N</t>
  </si>
  <si>
    <t>160403.N</t>
  </si>
  <si>
    <t>E16-05001-000</t>
  </si>
  <si>
    <t>160407.N</t>
  </si>
  <si>
    <t>160420.N</t>
  </si>
  <si>
    <t>160422.N</t>
  </si>
  <si>
    <t>160425.N</t>
  </si>
  <si>
    <t>160432.N</t>
  </si>
  <si>
    <t>160455.N</t>
  </si>
  <si>
    <t>160560.N</t>
  </si>
  <si>
    <t>160656.E</t>
  </si>
  <si>
    <t>160656.PA</t>
  </si>
  <si>
    <t>160660.E</t>
  </si>
  <si>
    <t>160660.PA</t>
  </si>
  <si>
    <t>160645.1.PA</t>
  </si>
  <si>
    <t>160652.1</t>
  </si>
  <si>
    <t>160652.1.PA</t>
  </si>
  <si>
    <t>160649.1</t>
  </si>
  <si>
    <t>160649.2</t>
  </si>
  <si>
    <t>160015.P.T1</t>
  </si>
  <si>
    <t>160035.P.T1</t>
  </si>
  <si>
    <t>160020.P.T1</t>
  </si>
  <si>
    <t>160030.P.T1</t>
  </si>
  <si>
    <t>160040.P.T1</t>
  </si>
  <si>
    <t>160005.X7D.T1</t>
  </si>
  <si>
    <t>160010.X7D.T1</t>
  </si>
  <si>
    <t>160050.X7D.T1</t>
  </si>
  <si>
    <t>920616.P</t>
  </si>
  <si>
    <t>920816.P</t>
  </si>
  <si>
    <t>921016.P</t>
  </si>
  <si>
    <t>921216.P</t>
  </si>
  <si>
    <t>Цена Siegmund 2023, EUR</t>
  </si>
  <si>
    <t>160645.1.N</t>
  </si>
  <si>
    <t>Цена Siegmund 2023, USD</t>
  </si>
  <si>
    <t>Восьмиугольный стол SW600x100, без азотирования, 16 система</t>
  </si>
  <si>
    <t>Восьмиугольный стол SW800x100, без азотирования, 16 система</t>
  </si>
  <si>
    <t>Восьмиугольный стол SW1000x100, без азотирования, 16 система</t>
  </si>
  <si>
    <t>Восьмиугольный стол SW1200x100, без азотирования, 16 система</t>
  </si>
  <si>
    <t>16-10600-020</t>
  </si>
  <si>
    <t>16-10800-020</t>
  </si>
  <si>
    <t>16-11000-020</t>
  </si>
  <si>
    <t>16-11200-020</t>
  </si>
  <si>
    <t>160171.N</t>
  </si>
  <si>
    <t>Промежуточный U-образный блок 500x100x100, без азотирования, 16 система</t>
  </si>
  <si>
    <t>Промежуточный U-образный блок 1000x100x100, без азотирования, 16 система</t>
  </si>
  <si>
    <t>Промежуточный U-образный блок 1500x100x100, без азотирования, 16 система</t>
  </si>
  <si>
    <t>Промежуточный U-образный блок 2000x100x100, без азотирования, 16 система</t>
  </si>
  <si>
    <t>Промежуточный U-образный блок 500x100x150 без азотирования, 16 система</t>
  </si>
  <si>
    <t>16-40050-020</t>
  </si>
  <si>
    <t>16-40100-020</t>
  </si>
  <si>
    <t>16-40150-020</t>
  </si>
  <si>
    <t>16-40200-020</t>
  </si>
  <si>
    <t>16-40050-021</t>
  </si>
  <si>
    <t>100x100x85</t>
  </si>
  <si>
    <t>-</t>
  </si>
  <si>
    <t>PE16-01000-500</t>
  </si>
  <si>
    <t>PE16-01001-500</t>
  </si>
  <si>
    <t>PE16-01056-500</t>
  </si>
  <si>
    <t>PE-16-01017-500</t>
  </si>
  <si>
    <t>PE-16-01011-500</t>
  </si>
  <si>
    <t>PE-16-01002-500</t>
  </si>
  <si>
    <t>PE-16-01003-500</t>
  </si>
  <si>
    <t>PE-16-01004-500</t>
  </si>
  <si>
    <t>PE16-01000-000</t>
  </si>
  <si>
    <t>PE16-01001-000</t>
  </si>
  <si>
    <t>PE16-01056-000</t>
  </si>
  <si>
    <t>PE16-01017-000</t>
  </si>
  <si>
    <t>PE16-01011-000</t>
  </si>
  <si>
    <t>PE16-01002-000</t>
  </si>
  <si>
    <t>PE16-01003-000</t>
  </si>
  <si>
    <t>PE16-01004-000</t>
  </si>
  <si>
    <t>3D сварочный стол 1000x500x100, 16 система, H type, без линейки, плазменное азотирование, без опор</t>
  </si>
  <si>
    <t>3D сварочный стол 1000x1000x100, 16 система, H type, без линейки, плазменное азотирование, без опор</t>
  </si>
  <si>
    <t>3D сварочный стол 1200x1200x100, 16 система, H type, без линейки, плазменное азотирование, без опор</t>
  </si>
  <si>
    <t>3D сварочный стол 1500x1000x100, 16 система, H type, без линейки, плазменное азотирование, без опор</t>
  </si>
  <si>
    <t>3D сварочный стол 1500x1500x100, 16 система, H type, без линейки, плазменное азотирование, без опор</t>
  </si>
  <si>
    <t>3D сварочный стол 2000x1000x100, 16 система, H type, без линейки, плазменное азотирование, без опор</t>
  </si>
  <si>
    <t>3D сварочный стол 2400x1200x100, 16 система, H type, без линейки, плазменное азотирование, без опор</t>
  </si>
  <si>
    <t>3D сварочный стол 3000x1500x100, 16 система, H type, без линейки, плазменное азотирование, без опор</t>
  </si>
  <si>
    <t>3D сварочный стол 1000x500x100, 16 система, HD type, с линейкой, плазменное азотирование, без опор</t>
  </si>
  <si>
    <t>3D сварочный стол 1000x1000x100, 16 система, HD type, с линейкой, плазменное азотирование, без опор</t>
  </si>
  <si>
    <t>3D сварочный стол 1200x1200x100, 16 система, HD type, с линейкой, плазменное азотирование, без опор</t>
  </si>
  <si>
    <t>3D сварочный стол 1500x1000x100, 16 система, HD type, с линейкой, плазменное азотирование, без опор</t>
  </si>
  <si>
    <t>3D сварочный стол 1500x1500x100, 16 система, HD type, с линейкой, плазменное азотирование, без опор</t>
  </si>
  <si>
    <t>3D сварочный стол 2000x1000x100, 16 система, HD type, с линейкой, плазменное азотирование, без опор</t>
  </si>
  <si>
    <t>3D сварочный стол 2400x1200x100, 16 система, HD type, с линейкой, плазменное азотирование, без опор</t>
  </si>
  <si>
    <t>3D сварочный стол 3000x1500x100, 16 система, HD type, с линейкой, плазменное азотирование, без опор</t>
  </si>
  <si>
    <t>Восьмиугольный стол SW600x100, плазменное азотирование, 16 система</t>
  </si>
  <si>
    <t>Восьмиугольный стол SW800x100, плазменное азотирование, 16 система</t>
  </si>
  <si>
    <t>Восьмиугольный стол SW1000x100, плазменное азотирование, 16 система</t>
  </si>
  <si>
    <t>Восьмиугольный стол SW1200x100, плазменное азотирование, 16 система</t>
  </si>
  <si>
    <t>прямая с шагом 50 мм, на боковой поверхности 2 ряда отверстий</t>
  </si>
  <si>
    <t>прямая с шагом 50 мм, на боковой поверхности 3 ряда отверстий</t>
  </si>
  <si>
    <t>PL16-01009-000</t>
  </si>
  <si>
    <t>PL16-01008-000</t>
  </si>
  <si>
    <t>PL16-01024-000</t>
  </si>
  <si>
    <t>PL16-01070-000</t>
  </si>
  <si>
    <t>PL16-10010-001</t>
  </si>
  <si>
    <t>PL16-10010-002</t>
  </si>
  <si>
    <t>PL16-10010-003</t>
  </si>
  <si>
    <t>PL16-10010-000</t>
  </si>
  <si>
    <t>PL16-10010-004</t>
  </si>
  <si>
    <t>160875.X</t>
  </si>
  <si>
    <t xml:space="preserve">Упорный угол малый 75x75x50 мм, отверстие/отверстие, плазменное азотирование, 16 система </t>
  </si>
  <si>
    <t>Упорный угол 90x90x25 мм, отверстие/слот, с линейкой, плазменное азотирование, 16 система</t>
  </si>
  <si>
    <t>Упорный угол 90x90x25 мм, отверстие/отверстие, без линейки, плазменное азотирование, 16 система</t>
  </si>
  <si>
    <t xml:space="preserve">Упорный угол малый 90x37,5x25 мм, отверстие/слот, с линейкой, плазменное азотирование, 16 система </t>
  </si>
  <si>
    <t>Упорный угол большой 140x90x25 отверстие/слот,  с линейкой, плазменное азотирование, 16 система</t>
  </si>
  <si>
    <t>Упорный угол 300x150x50, плазменное азотирование, 16 система</t>
  </si>
  <si>
    <t>Упорный угол 500x150x50, плазменное азотирование, 16 система</t>
  </si>
  <si>
    <t>Промежуточный U-образный блок 500x100x100, плазменное азотирование, 16 система</t>
  </si>
  <si>
    <t>Промежуточный U-образный блок 1000x100x100, плазменное азотирование, 16 система</t>
  </si>
  <si>
    <t>Промежуточный U-образный блок 1500x100x100, плазменное азотирование, 16 система</t>
  </si>
  <si>
    <t>Промежуточный U-образный блок 2000x100x100, плазменное азотирование, 16 система</t>
  </si>
  <si>
    <t>Промежуточный U-образный блок 500x100x150, плазменное азотирование, 16 система</t>
  </si>
  <si>
    <t>Планка с плоским углом 250, плазменное азотирование, 16 система</t>
  </si>
  <si>
    <t>Стопорная планка 250x50x12, плазменное азотирование, 16 система</t>
  </si>
  <si>
    <t>Стопорная планка 400x50x12, плазменное азотирование, 16 система</t>
  </si>
  <si>
    <t>Поворотный угольник 150, плазменное азотирование, 16 система</t>
  </si>
  <si>
    <t xml:space="preserve">Упорный и крепежный угол 150x90x35 отверстие/отверстие/слот, с линейкой, плазменное азотирование, 16 система </t>
  </si>
  <si>
    <t>Упорный и крепежный угол 200x137,5x50 правый, без линейки, плазменное азотирование, 16 система</t>
  </si>
  <si>
    <t>Упорный и крепежный угол 200x137,5x50 левый, без линейки, плазменное азотирование, 16 система</t>
  </si>
  <si>
    <t>Упорный и крепежный угол 400x187,5x50 правый, без линейки, плазменное азотирование, 16 система</t>
  </si>
  <si>
    <t>Упорный и крепежный угол 400x187,5x50 левый, без линейки, плазменное азотирование, 16 система</t>
  </si>
  <si>
    <t>Упорный и крепежный угол 600x187,5x50 правый, без линейки, плазменное азотирование, 16 система</t>
  </si>
  <si>
    <t>Упорный и крепежный угол 600x187,5x50 левый, без линейки, плазменное азотирование, 16 система</t>
  </si>
  <si>
    <t>Универсальный регулируемый угол с гидромеханическим зажимом, правый, c линейкой, плазменное азотирование, 16 система</t>
  </si>
  <si>
    <t>Универсальный регулируемый угол с гидромеханическим зажимом, левый, с линейкой, плазменное азотирование, 16 система</t>
  </si>
  <si>
    <t>Упорный и крепежный угольник 500D, правый упор, плазменное азотирование, 16 система</t>
  </si>
  <si>
    <t>Универсальный стопор большой 115x25x12 с линейкой, плазменное азотирование, 16 система</t>
  </si>
  <si>
    <t>Универсальный стопор большой ST 115x25x12 с линейкой, плазменное азотирование, 16 система</t>
  </si>
  <si>
    <t>Универсальный стопор малый, плазменное азотирование, 16 система</t>
  </si>
  <si>
    <t>Универсальный упор 150x25x12, плазменное азотирование, 16 система</t>
  </si>
  <si>
    <t>Экцентриковый упор D45x12, плазменное азотирование, 16 система</t>
  </si>
  <si>
    <t>Экцентриковый упор D75x12, плазменное азотирование, 16 система</t>
  </si>
  <si>
    <t>Транспортир D150x87,5x12, плазменное азотирование, 16 система</t>
  </si>
  <si>
    <t>Угловой модуль 100x100x85 стальной правый, плазменное азотирование, 16 система</t>
  </si>
  <si>
    <t>Угловой модуль 100x100x85 стальной левый, плазменное азотирование, 16 система</t>
  </si>
  <si>
    <t>E16-05002-000</t>
  </si>
  <si>
    <t>Комплект вставок 9 элементов, 16 система</t>
  </si>
  <si>
    <t>POM</t>
  </si>
  <si>
    <t>нержавеющая сталь</t>
  </si>
  <si>
    <t>V-блок D50x35, 120°/90° для труб диаметром до 70 мм, полиамидный, 16 система</t>
  </si>
  <si>
    <t>V-блок D80x50, 120°/90° для труб диаметром до 140 мм, полиамидный, 16 система</t>
  </si>
  <si>
    <t>Переходная пластина с D28 на D16</t>
  </si>
  <si>
    <t>130/max 90/130</t>
  </si>
  <si>
    <t>130/max 130/170</t>
  </si>
  <si>
    <t>Струбцина 180° с быстрозажимным шпинделем H130, 16 система</t>
  </si>
  <si>
    <t>Струбцина 180° с коротким шпинделем (SW14) H130, 16 система</t>
  </si>
  <si>
    <t>150/max 40/170</t>
  </si>
  <si>
    <t>D16-07020-000</t>
  </si>
  <si>
    <t xml:space="preserve">Шпиндель с втулкой и зажимным диском, 16 система </t>
  </si>
  <si>
    <t>H150</t>
  </si>
  <si>
    <t>D16-07002-000</t>
  </si>
  <si>
    <t>Короткий шпиндель (SW14) с втулкой и зажимным диском, 28 система</t>
  </si>
  <si>
    <t>D16-07011-002</t>
  </si>
  <si>
    <t>Прижимная опора струбцины, нержавеющая сталь, 16 система</t>
  </si>
  <si>
    <t>Прижимная опора струбцины, сталь, 16 система</t>
  </si>
  <si>
    <t>Прижимная опора струбцины, полиамидная, 16 система</t>
  </si>
  <si>
    <t>D16-07011-007</t>
  </si>
  <si>
    <t>D16-07011-012</t>
  </si>
  <si>
    <t>Зажимной диск струбцины шаровой формы стальной, 16 система</t>
  </si>
  <si>
    <t>Зажимной диск струбцины шаровой формы нержавеющая сталь, 16 система</t>
  </si>
  <si>
    <t>Зажимной диск струбцины шаровой формы полимамидный, 16 система</t>
  </si>
  <si>
    <t>Зажимной диск струбцины шаровой формы алюминиевый, 16 система</t>
  </si>
  <si>
    <t>Установочное кольцо для груглых труб струбцины, 16 система</t>
  </si>
  <si>
    <t>Зажимная труба 125 мм, 16 система</t>
  </si>
  <si>
    <t>Зажимная труба 250 мм, 16 система</t>
  </si>
  <si>
    <t>Зажимная труба 600 мм, 16 система</t>
  </si>
  <si>
    <t>Зажимная труба 1000 мм, 16 система</t>
  </si>
  <si>
    <t>Переходная втулка c D28 на D16</t>
  </si>
  <si>
    <t>20,5x28x16</t>
  </si>
  <si>
    <t>D00-06010-002</t>
  </si>
  <si>
    <t>Удлинитель V-блоков 50, 16 система</t>
  </si>
  <si>
    <t>Удлинитель V-блоков 100, 16 система</t>
  </si>
  <si>
    <t>Сетка системных отверстий (для столов и U-блоков)</t>
  </si>
  <si>
    <t>прямая с шагом 50 мм</t>
  </si>
  <si>
    <t>D16-04002-300</t>
  </si>
  <si>
    <t>D16-04002-301</t>
  </si>
  <si>
    <t>D16-04002-302</t>
  </si>
  <si>
    <t>D16-04002-303</t>
  </si>
  <si>
    <t>D16-04003-326</t>
  </si>
  <si>
    <t>D16-03007-000</t>
  </si>
  <si>
    <t>D16-03007-003</t>
  </si>
  <si>
    <t>Точильный брусок</t>
  </si>
  <si>
    <t>200x50x25</t>
  </si>
  <si>
    <t>Флакон-дозатор для антипригарного спрея</t>
  </si>
  <si>
    <t>емкость 1 литр</t>
  </si>
  <si>
    <t>пластик</t>
  </si>
  <si>
    <t>Шестигранный ключ SW8 с шаровой головкой</t>
  </si>
  <si>
    <t>104xSW8x42</t>
  </si>
  <si>
    <t>инструментальная сталь</t>
  </si>
  <si>
    <t>Шестигранный ключ SW6 с шаровой головкой</t>
  </si>
  <si>
    <t>Шестигранный ключ SW4 с шаровой головкой</t>
  </si>
  <si>
    <t>94xSW6x38</t>
  </si>
  <si>
    <t>71xSW4x25</t>
  </si>
  <si>
    <t>Транспортировочная скоба, 16 система</t>
  </si>
  <si>
    <t>200x120x84</t>
  </si>
  <si>
    <t>D00-10001-001</t>
  </si>
  <si>
    <t>нержавеющая сталь, пластик</t>
  </si>
  <si>
    <t>Зажим заземления, 16 система</t>
  </si>
  <si>
    <t>717x572x870</t>
  </si>
  <si>
    <t>Тумба для инструментов, 16 система</t>
  </si>
  <si>
    <t>Тележка для принадлежностей, 16 система</t>
  </si>
  <si>
    <t>600x450x870</t>
  </si>
  <si>
    <t>конструкционная сталь Q355</t>
  </si>
  <si>
    <t>Адаптер для быстрозажимного устройства с потайным болтом, 16 система</t>
  </si>
  <si>
    <t>Прижимная опора струбцины, алюминиевая, 16 система</t>
  </si>
  <si>
    <t>160100.N</t>
  </si>
  <si>
    <t>Поворотный угольник 90, плазменное азотирование, 16 система</t>
  </si>
  <si>
    <t>200x100x500x14</t>
  </si>
  <si>
    <t>D16-11001-002</t>
  </si>
  <si>
    <t>70x22</t>
  </si>
  <si>
    <t>16-50150-120</t>
  </si>
  <si>
    <t>Стопор слот 150x25x12, с линейкой, плазменное азотирование, 16 система</t>
  </si>
  <si>
    <t>Твердость поверхности (для азотированных столов и U-блоков)</t>
  </si>
  <si>
    <t>750 HV</t>
  </si>
  <si>
    <t>Переходная плита 75x75x12, плазменное азотирование, 16 система</t>
  </si>
  <si>
    <t>Консоль 150x100x50 правая, плазменное азотирование, 16 система</t>
  </si>
  <si>
    <t>Консоль 150x100x50 левая, плазменное азотирование, 16 система</t>
  </si>
  <si>
    <t>160990.1</t>
  </si>
  <si>
    <t>На сколько % Siegmund дороже STRONG TOOL</t>
  </si>
  <si>
    <t>На сколько Siegmund дороже (+) STRONG TOOL (-)</t>
  </si>
  <si>
    <t>Какую скидку должен дать Siegmund, чтобы получить цену STRONG TOOL</t>
  </si>
  <si>
    <t>600x100</t>
  </si>
  <si>
    <t>800x100</t>
  </si>
  <si>
    <t>1000x100</t>
  </si>
  <si>
    <t>1200x100</t>
  </si>
  <si>
    <t>Описание для КП</t>
  </si>
  <si>
    <t>1000x500x100 мм
прямая сетка отверстий с шагом 50 мм
на боковой поверхности 3 ряда отверстий
конструкционная сталь Q355
75 кг
необходимое количество опор 4 шт.</t>
  </si>
  <si>
    <t>1000x1000x100 мм
прямая сетка отверстий с шагом 50 мм
на боковой поверхности 3 ряда отверстий
конструкционная сталь Q355
130 кг
необходимое количество опор 4 шт.</t>
  </si>
  <si>
    <t>1200x1200x100 мм
прямая сетка отверстий с шагом 50 мм
на боковой поверхности 3 ряда отверстий
конструкционная сталь Q355
175 кг
необходимое количество опор 4 шт.</t>
  </si>
  <si>
    <t>1500x1000x100 мм
прямая сетка отверстий с шагом 50 мм
на боковой поверхности 3 ряда отверстий
конструкционная сталь Q355
190 кг
необходимое количество опор 4 шт.</t>
  </si>
  <si>
    <t>1500x1500x100 мм
прямая сетка отверстий с шагом 50 мм
на боковой поверхности 3 ряда отверстий
конструкционная сталь Q355
270 кг
необходимое количество опор 4 шт.</t>
  </si>
  <si>
    <t>2000x1000x100 мм
прямая сетка отверстий с шагом 50 мм
на боковой поверхности 3 ряда отверстий
конструкционная сталь Q355
240 кг
необходимое количество опор 4 шт.</t>
  </si>
  <si>
    <t>2400x1200x100 мм
прямая сетка отверстий с шагом 50 мм
на боковой поверхности 3 ряда отверстий
конструкционная сталь Q355
350 кг
необходимое количество опор 4 шт.</t>
  </si>
  <si>
    <t>3000x1500x100 мм
прямая сетка отверстий с шагом 50 мм
на боковой поверхности 3 ряда отверстий
конструкционная сталь Q355
545 кг
необходимое количество опор 4 шт.</t>
  </si>
  <si>
    <t>1000x500x100 мм
прямая сетка отверстий с шагом 50 мм
на боковой поверхности 3 ряда отверстий
миллиметровая шкала на рабочей поверхности
конструкционная сталь Q355
75 кг
необходимое количество опор 4 шт.</t>
  </si>
  <si>
    <t>1000x1000x100 мм
прямая сетка отверстий с шагом 50 мм
на боковой поверхности 3 ряда отверстий
миллиметровая шкала на рабочей поверхности
конструкционная сталь Q355
130 кг
необходимое количество опор 4 шт.</t>
  </si>
  <si>
    <t>1200x1200x100 мм
прямая сетка отверстий с шагом 50 мм
на боковой поверхности 3 ряда отверстий
миллиметровая шкала на рабочей поверхности
конструкционная сталь Q355
175 кг
необходимое количество опор 4 шт.</t>
  </si>
  <si>
    <t>1500x1000x100 мм
прямая сетка отверстий с шагом 50 мм
на боковой поверхности 3 ряда отверстий
миллиметровая шкала на рабочей поверхности
конструкционная сталь Q355
190 кг
необходимое количество опор 4 шт.</t>
  </si>
  <si>
    <t>1500x1500x100 мм
прямая сетка отверстий с шагом 50 мм
на боковой поверхности 3 ряда отверстий
миллиметровая шкала на рабочей поверхности
конструкционная сталь Q355
270 кг
необходимое количество опор 4 шт.</t>
  </si>
  <si>
    <t>2000x1000x100 мм
прямая сетка отверстий с шагом 50 мм
на боковой поверхности 3 ряда отверстий
миллиметровая шкала на рабочей поверхности
конструкционная сталь Q355
240 кг
необходимое количество опор 4 шт.</t>
  </si>
  <si>
    <t>2400x1200x100 мм
прямая сетка отверстий с шагом 50 мм
на боковой поверхности 3 ряда отверстий
миллиметровая шкала на рабочей поверхности
конструкционная сталь Q355
350 кг
необходимое количество опор 4 шт.</t>
  </si>
  <si>
    <t>3000x1500x100 мм
прямая сетка отверстий с шагом 50 мм
на боковой поверхности 3 ряда отверстий
миллиметровая шкала на рабочей поверхности
конструкционная сталь Q355
545 кг
необходимое количество опор 4 шт.</t>
  </si>
  <si>
    <t>1000x500x100 мм
прямая сетка отверстий с шагом 50 мм
на боковой поверхности 3 ряда отверстий
конструкционная сталь Q355
плазменное азотирование
75 кг
необходимое количество опор 4 шт.</t>
  </si>
  <si>
    <t>1000x1000x100 мм
прямая сетка отверстий с шагом 50 мм
на боковой поверхности 3 ряда отверстий
конструкционная сталь Q355
плазменное азотирование
130 кг
необходимое количество опор 4 шт.</t>
  </si>
  <si>
    <t>1200x1200x100 мм
прямая сетка отверстий с шагом 50 мм
на боковой поверхности 3 ряда отверстий
конструкционная сталь Q355
плазменное азотирование
175 кг
необходимое количество опор 4 шт.</t>
  </si>
  <si>
    <t>1500x1000x100 мм
прямая сетка отверстий с шагом 50 мм
на боковой поверхности 3 ряда отверстий
конструкционная сталь Q355
плазменное азотирование
190 кг
необходимое количество опор 4 шт.</t>
  </si>
  <si>
    <t>1500x1500x100 мм
прямая сетка отверстий с шагом 50 мм
на боковой поверхности 3 ряда отверстий
конструкционная сталь Q355
плазменное азотирование
270 кг
необходимое количество опор 4 шт.</t>
  </si>
  <si>
    <t>2000x1000x100 мм
прямая сетка отверстий с шагом 50 мм
на боковой поверхности 3 ряда отверстий
конструкционная сталь Q355
плазменное азотирование
240 кг
необходимое количество опор 4 шт.</t>
  </si>
  <si>
    <t>2400x1200x100 мм
прямая сетка отверстий с шагом 50 мм
на боковой поверхности 3 ряда отверстий
конструкционная сталь Q355
плазменное азотирование
350 кг
необходимое количество опор 4 шт.</t>
  </si>
  <si>
    <t>3000x1500x100 мм
прямая сетка отверстий с шагом 50 мм
на боковой поверхности 3 ряда отверстий
конструкционная сталь Q355
плазменное азотирование
545 кг
необходимое количество опор 4 шт.</t>
  </si>
  <si>
    <t>1000x500x100 мм
прямая сетка отверстий с шагом 50 мм
на боковой поверхности 3 ряда отверстий
миллиметровая шкала на рабочей поверхности
конструкционная сталь Q355
плазменное азотирование
75 кг
необходимое количество опор 4 шт.</t>
  </si>
  <si>
    <t>1000x1000x100 мм
прямая сетка отверстий с шагом 50 мм
на боковой поверхности 3 ряда отверстий
миллиметровая шкала на рабочей поверхности
конструкционная сталь Q355
плазменное азотирование
130 кг
необходимое количество опор 4 шт.</t>
  </si>
  <si>
    <t>1200x1200x100 мм
прямая сетка отверстий с шагом 50 мм
на боковой поверхности 3 ряда отверстий
миллиметровая шкала на рабочей поверхности
конструкционная сталь Q355
плазменное азотирование
175 кг
необходимое количество опор 4 шт.</t>
  </si>
  <si>
    <t>1500x1000x100 мм
прямая сетка отверстий с шагом 50 мм
на боковой поверхности 3 ряда отверстий
миллиметровая шкала на рабочей поверхности
конструкционная сталь Q355
плазменное азотирование
190 кг
необходимое количество опор 4 шт.</t>
  </si>
  <si>
    <t>1500x1500x100 мм
прямая сетка отверстий с шагом 50 мм
на боковой поверхности 3 ряда отверстий
миллиметровая шкала на рабочей поверхности
конструкционная сталь Q355
плазменное азотирование
270 кг
необходимое количество опор 4 шт.</t>
  </si>
  <si>
    <t>2000x1000x100 мм
прямая сетка отверстий с шагом 50 мм
на боковой поверхности 3 ряда отверстий
миллиметровая шкала на рабочей поверхности
конструкционная сталь Q355
плазменное азотирование
240 кг
необходимое количество опор 4 шт.</t>
  </si>
  <si>
    <t>2400x1200x100 мм
прямая сетка отверстий с шагом 50 мм
на боковой поверхности 3 ряда отверстий
миллиметровая шкала на рабочей поверхности
конструкционная сталь Q355
плазменное азотирование
350 кг
необходимое количество опор 4 шт.</t>
  </si>
  <si>
    <t>3000x1500x100 мм
прямая сетка отверстий с шагом 50 мм
на боковой поверхности 3 ряда отверстий
миллиметровая шкала на рабочей поверхности
конструкционная сталь Q355
плазменное азотирование
545 кг
необходимое количество опор 4 шт.</t>
  </si>
  <si>
    <t>600x100 мм
конструкционная сталь Q355
98 кг</t>
  </si>
  <si>
    <t>800x100 мм
конструкционная сталь Q355
135 кг</t>
  </si>
  <si>
    <t>1000x100 мм
конструкционная сталь Q355
175 кг</t>
  </si>
  <si>
    <t>1200x100 мм
конструкционная сталь Q355
230 кг</t>
  </si>
  <si>
    <t>600x100 мм
конструкционная сталь Q355
плазменное азотирование
98 кг</t>
  </si>
  <si>
    <t>800x100 мм
конструкционная сталь Q355
плазменное азотирование
135 кг</t>
  </si>
  <si>
    <t>1000x100 мм
конструкционная сталь Q355
плазменное азотирование
175 кг</t>
  </si>
  <si>
    <t>1200x100 мм
конструкционная сталь Q355
плазменное азотирование
230 кг</t>
  </si>
  <si>
    <t>D89x750±30 мм
конструкционная сталь Q355
6 кг
максимальная распределенная нагрузка на опору 2000 кг</t>
  </si>
  <si>
    <t>D89x550-900±30 мм
конструкционная сталь Q355
7 кг
максимальная распределенная нагрузка на опору 2000 кг</t>
  </si>
  <si>
    <t>D89x650±30 мм
конструкционная сталь Q355
11,4 кг
максимальная распределенная нагрузка на опору 600 кг</t>
  </si>
  <si>
    <t>D89x750±30 мм
конструкционная сталь Q355
13,1 кг
максимальная распределенная нагрузка на опору 600 кг</t>
  </si>
  <si>
    <t>D89x650±30 мм
конструкционная сталь Q355
11,2 кг
максимальная распределенная нагрузка на опору 600 кг</t>
  </si>
  <si>
    <t>D89x750±30 мм
конструкционная сталь Q355
12,9 кг
максимальная распределенная нагрузка на опору 600 кг</t>
  </si>
  <si>
    <t>D89x650±30 мм
конструкционная сталь Q355
10 кг
максимальная распределенная нагрузка на опору 2000 кг</t>
  </si>
  <si>
    <t>37,5x37,5x25 мм
конструкционная сталь Q355
плазменное азотирование
0,12 кг</t>
  </si>
  <si>
    <t>90x90x25 мм
конструкционная сталь Q355
плазменное азотирование 
0,25 кг</t>
  </si>
  <si>
    <t>90x90x25 мм 
конструкционная сталь Q355
плазменное азотирование 
0,2 кг</t>
  </si>
  <si>
    <t>90x90x25 мм
конструкционная сталь Q355
плазменное азотирование
0,29 кг</t>
  </si>
  <si>
    <t>90x37,5x25 мм
конструкционная сталь Q355
плазменное азотирование 
0,17 кг</t>
  </si>
  <si>
    <t>140x90x25 мм
конструкционная сталь Q355
плазменное азотирование
0,32 кг</t>
  </si>
  <si>
    <t>300x150x50 мм
конструкционная сталь Q355
плазменное азотирование
2,6 кг</t>
  </si>
  <si>
    <t>500x150x50 мм
конструкционная сталь Q355
плазменное азотирование
4,6 кг</t>
  </si>
  <si>
    <t xml:space="preserve">D90x90x12 мм
конструкционная сталь Q355
плазменное азотирование
0,5 кг </t>
  </si>
  <si>
    <t>D150x150x12 мм
конструкционная сталь Q355
плазменное азотирование
1,8 кг</t>
  </si>
  <si>
    <t>150x90x35 мм
конструкционная сталь Q355
плазменное азотирование
0,65 кг</t>
  </si>
  <si>
    <t>200x137.5x50 мм
конструкционная сталь Q355
плазменное азотирование
1,8 кг</t>
  </si>
  <si>
    <t>400x187.5x50 мм
конструкционная сталь Q355
плазменное азотирование
4 кг</t>
  </si>
  <si>
    <t>600x187.5x50 мм
конструкционная сталь Q355
плазменное азотирование
5,5 кг</t>
  </si>
  <si>
    <t>200x100x500x14 мм
конструкционная сталь Q355
плазменное азотирование
11,5 кг</t>
  </si>
  <si>
    <t>250x187.5x12 мм
конструкционная сталь Q355
плазменное азотирование
1,46 кг</t>
  </si>
  <si>
    <t>диагональная с шагом 50 мм</t>
  </si>
  <si>
    <t>500x100x100 мм
диагональная сетка отверстий с шагом 50 мм
конструкционная сталь Q355
13 кг</t>
  </si>
  <si>
    <t xml:space="preserve">500x100x100 мм
диагональная сетка отверстий с шагом 50 мм
конструкционная сталь Q355
плазменное азотирование
13 кг </t>
  </si>
  <si>
    <t xml:space="preserve">1000x100x100 мм
диагональная сетка отверстий с шагом 50 мм
конструкционная сталь Q355
25 кг </t>
  </si>
  <si>
    <t xml:space="preserve">1000x100x100 мм
диагональная сетка отверстий с шагом 50 мм
конструкционная сталь Q355
плазменное азотирование
25 кг </t>
  </si>
  <si>
    <t>1500x100x100 мм
диагональная сетка отверстий с шагом 50 мм
конструкционная сталь Q355
377 кг</t>
  </si>
  <si>
    <t xml:space="preserve">1500x100x100 мм
диагональная сетка отверстий с шагом 50 мм
конструкционная сталь Q355
плазменное азотирование
377 кг </t>
  </si>
  <si>
    <t xml:space="preserve">2000x100x100 мм
диагональная сетка отверстий с шагом 50 мм
конструкционная сталь Q355
50 кг </t>
  </si>
  <si>
    <t>2000x100x100 мм
диагональная сетка отверстий с шагом 50 мм
конструкционная сталь Q355
плазменное азотирование
50 кг</t>
  </si>
  <si>
    <t xml:space="preserve">500x100x150 мм
прямая сетка отверстий с шагом 50 мм
конструкционная сталь Q355
20 кг </t>
  </si>
  <si>
    <t xml:space="preserve">500x100x150 мм
прямая сетка отверстий с шагом 50 мм
конструкционная сталь Q355
плазменное азотирование
20 кг </t>
  </si>
  <si>
    <t>115x25x12 мм
конструкционная сталь Q355
плазменное азотирование
0,16 кг</t>
  </si>
  <si>
    <t xml:space="preserve">115x25x12 мм
миллиметровая шкала
конструкционная сталь Q355
плазменное азотирование
0,14 кг </t>
  </si>
  <si>
    <t>55x25x12 мм
конструкционная сталь Q355
плазменное азотирование
0,1 кг</t>
  </si>
  <si>
    <t xml:space="preserve">150x25x12 мм
миллиметровая шкала
конструкционная стальQ355
плазменное азотирование
0,18 кг </t>
  </si>
  <si>
    <t>250x50x12 мм
конструкционная сталь Q355
плазменное азотирование
0,9 кг</t>
  </si>
  <si>
    <t>400x50x12 мм
конструкционная сталь Q355
плазменное азотирование
1,5 кг</t>
  </si>
  <si>
    <t>150X25x12 мм
конструкционная сталь Q355
плазменное азотирование
0,23 кг</t>
  </si>
  <si>
    <t>D45x12 мм
конструкционная сталь Q355
плазменное азотирование
0,13 кг</t>
  </si>
  <si>
    <t>D75x12 мм
конструкционная сталь Q355
плазменное азотирование
0,4 кг</t>
  </si>
  <si>
    <t>75x75x12 мм
конструкционная сталь Q355
плазменное азотирование
0,36 кг</t>
  </si>
  <si>
    <t>150x87.5x12 мм
миллиметровая шкала
конструкционная сталь Q355
плазменное азотирование
0,45 кг</t>
  </si>
  <si>
    <t>100x100x85 мм
конструкционная сталь Q355
плазменное азотирование
1,9 кг</t>
  </si>
  <si>
    <t>150x100x50 мм
конструкционная сталь Q355
плазменное азотирование
2,3 кг</t>
  </si>
  <si>
    <t xml:space="preserve">D16-0,01x22-24 мм
под ключ SW8
подшипниковая сталь
0,08 кг </t>
  </si>
  <si>
    <t xml:space="preserve">D16-0,01x34-36 мм
под ключ SW8
подшипниковая сталь
0,1 кг </t>
  </si>
  <si>
    <t xml:space="preserve">D16-0,01x22-24 мм
под ключ SW4
подшипниковая сталь
0,04 кг </t>
  </si>
  <si>
    <t xml:space="preserve">D16-0,01x34-36 мм
под ключ SW4
подшипниковая сталь
0,06 кг </t>
  </si>
  <si>
    <t xml:space="preserve">D16x17 мм
под ключ SW6
конструкционная сталь Q355
воронение
0,04 кг </t>
  </si>
  <si>
    <t xml:space="preserve">D16x250 мм
под ключ SW6
конструкционная сталь Q355
воронение
0,05 кг </t>
  </si>
  <si>
    <t xml:space="preserve">D16x37 мм
конструкционная сталь Q355
воронение
0,09 кг </t>
  </si>
  <si>
    <t xml:space="preserve">130/max 90/130 мм
максимальная ширина зажима 90 мм
конструкционная сталь Q355
воронение
0,52 кг </t>
  </si>
  <si>
    <t xml:space="preserve">130/max 130/170 мм
максимальная ширина зажима 130 мм
конструкционная сталь Q355
воронение
0,65 кг </t>
  </si>
  <si>
    <t xml:space="preserve">38x15 мм
конструкционная сталь Q355
0,25 кг </t>
  </si>
  <si>
    <t xml:space="preserve">130/max 90/130 мм
максимальная ширина зажима 90 мм
конструкционная сталь Q355
воронение
0,58 кг </t>
  </si>
  <si>
    <t xml:space="preserve">130/max 90/130 мм
максимальная ширина зажима 90 мм
под ключ SW14
конструкционная сталь Q355
воронение
0,5 кг </t>
  </si>
  <si>
    <t>150/max 40/170 мм
максимальная ширина зажима 40 мм
конструкционная сталь Q355
воронение
0,3 кг</t>
  </si>
  <si>
    <t xml:space="preserve">130/max 90/130 мм
максимальная ширина зажима 90 мм
конструкционная сталь Q355
воронение
0,5 кг </t>
  </si>
  <si>
    <t xml:space="preserve">130/max 90/130 мм
максимальная ширина зажима 90 мм
под ключ SW14
конструкционная сталь Q355
воронение
0,46 кг </t>
  </si>
  <si>
    <t xml:space="preserve">D38x15 мм
адаптер 1 шт., болты M4x10 - 4 шт., потайной болт M10x20 - 1 шт.
конструкционная сталь Q355
воронение
0,08 кг </t>
  </si>
  <si>
    <t xml:space="preserve">D16x125 мм
конструкционная сталь Q355
воронение
0,15 кг </t>
  </si>
  <si>
    <t xml:space="preserve">D16x250 мм
конструкционная сталь Q355
воронение
0,3 кг </t>
  </si>
  <si>
    <t xml:space="preserve">D16x600 мм
конструкционная сталь Q355
воронение
0,72 кг </t>
  </si>
  <si>
    <t>D16x1000 мм
конструкционная сталь Q355
воронение
1,2 кг</t>
  </si>
  <si>
    <t xml:space="preserve">D16x6 мм
конструкционная сталь Q355
воронение
0,006 кг </t>
  </si>
  <si>
    <t xml:space="preserve">D22x13 мм
с крестовым V-блоком для зажима круглых/прямоугольных труб
конструкционная сталь Q355
воронение
0,019 кг </t>
  </si>
  <si>
    <t xml:space="preserve">D22x13 мм
с крестовым V-блоком для зажима круглых/прямоугольных труб
нержавеющая сталь
0,019 кг </t>
  </si>
  <si>
    <t>D22x13 мм
с крестовым V-блоком для зажима круглых/прямоугольных труб
POM
0,004 кг</t>
  </si>
  <si>
    <t>D22x13 мм
с крестовым V-блоком для зажима круглых/прямоугольных труб
AL авиационный сплав
0,003 кг</t>
  </si>
  <si>
    <t xml:space="preserve">D20x14 мм
конструкционная сталь Q355
воронение
0,018 кг </t>
  </si>
  <si>
    <t xml:space="preserve">D20x14 мм
нержавеющая сталь
0,018 кг </t>
  </si>
  <si>
    <t xml:space="preserve">D20x14 мм
POM
0,004 кг </t>
  </si>
  <si>
    <t>D20x14 мм
AL авиационный сплав
0,007 кг</t>
  </si>
  <si>
    <t xml:space="preserve">H150 мм
конструкционная сталь Q355
воронение
0,14 кг </t>
  </si>
  <si>
    <t xml:space="preserve">70x22 мм
под ключ SW14
конструкционная сталь Q355
воронение
0,1 кг </t>
  </si>
  <si>
    <t>20,5x28x16 мм
наружный D28 мм, внутренний D16 мм
конструкционная сталь Q355
воронение
0,05 кг</t>
  </si>
  <si>
    <t>150x50x50xD100 мм
крепится к столу 16 системы с помощью двух болтов D16
по центру отверстие для оснастки 28 системы
конструкционная сталь Q355
воронение
1,04 кг</t>
  </si>
  <si>
    <t xml:space="preserve">D16, 5-50 мм
отдельная оправка 55+5 мм, вставки толщиной: 1, 2, 2.5, 3, 4, 5, 10, 20 мм
конструкционная сталь Q355
воронение
0,35 кг </t>
  </si>
  <si>
    <t xml:space="preserve">D16x50 мм
удлинитель вкручивается во все типы V-блоков
для регулировки высоты используется с комплектом вставок 16-90001-000
конструкционная сталь Q355
воронение
0,08 кг </t>
  </si>
  <si>
    <t xml:space="preserve">D16x100 мм
удлинитель вкручивается во все типы V-блоков
для регулировки высоты используется с комплектом вставок 16-90001-000
конструкционная сталь Q355
воронение
0,15 кг </t>
  </si>
  <si>
    <t xml:space="preserve">D50x35 мм
двойной V-блок, 120°/90°
конструкционная сталь Q355
воронение
0,36 кг </t>
  </si>
  <si>
    <t xml:space="preserve">D50x35 мм
двойной V-блок, 120°/90°
POM
0,06 кг </t>
  </si>
  <si>
    <t xml:space="preserve">D50x35 мм
двойной V-блок, 120°/90°
нержавеющая сталь
0,38 кг </t>
  </si>
  <si>
    <t xml:space="preserve">D80x50 мм
двойной V-блок, 120°/90°
конструкционная сталь Q355
воронение
1,46 кг </t>
  </si>
  <si>
    <t xml:space="preserve">D80x50 мм
двойной V-блок, 120°/90°
POM
0,22 кг </t>
  </si>
  <si>
    <t xml:space="preserve">D80x50 мм
двойной V-блок, 120°/90°
нержавеющая сталь
1,46 кг </t>
  </si>
  <si>
    <t>200x120x84 мм
крепится к столу при помощи не менее 2-х быстрозажимных болтов (приобретаются отдельно)
конструкционная сталь Q355
2,8 кг</t>
  </si>
  <si>
    <t xml:space="preserve">D16x200x45 мм
для очистки системных отверстий
нержавеющая сталь, пластиковая рукоятка
0,1 кг </t>
  </si>
  <si>
    <t xml:space="preserve">емкость 1 литр
пластик
0,5 кг </t>
  </si>
  <si>
    <t xml:space="preserve">200x50x25 мм
0,56 кг </t>
  </si>
  <si>
    <t xml:space="preserve">104xSW8x42 мм
инструментальная сталь
0,1 кг </t>
  </si>
  <si>
    <t xml:space="preserve">94xSW6x38 мм
инструментальная сталь
0,02 кг </t>
  </si>
  <si>
    <t xml:space="preserve">71xSW4x25 мм
инструментальная сталь
0,01 кг </t>
  </si>
  <si>
    <t xml:space="preserve">быстроразъемное соединение
закрепляется в любом системном отверстии
совместим с распространенными кабелями заземления
0,34 кг </t>
  </si>
  <si>
    <t xml:space="preserve">717x572x870 мм
четыре выдвижных ящика
оснащена колесами
конструкционная сталь Q355
порошковая окраска
25 кг </t>
  </si>
  <si>
    <t xml:space="preserve">600x450x870 мм
оснащена колесами
конструкционная сталь Q355
порошковая окраска
35 кг </t>
  </si>
  <si>
    <t>Упорный угол 90x90x25 мм, слот/слот, с линейкой, плазменное азотирование, 16 система</t>
  </si>
  <si>
    <t>225x50x50 мм
конструкционная сталь Q355
плазменное азотирование
3 кг
гидромеханический зажим
плавная регулировка угла 0-225° по точной шкале
крепежное усилие 160 Нм</t>
  </si>
  <si>
    <t>Описание для сайта</t>
  </si>
  <si>
    <t>3D рабочая плита 1000x500x100, 16 система, BASIC, без линейки, без азотирования</t>
  </si>
  <si>
    <t>3D рабочая плита 1000x1000x100, 16 система, BASIC, без линейки, без азотирования</t>
  </si>
  <si>
    <t>3D рабочая плита 1200x1200x100, 16 система, BASIC, без линейки, без азотирования</t>
  </si>
  <si>
    <t>3D рабочая плита 1500x1000x100, 16 система, BASIC, без линейки, без азотирования</t>
  </si>
  <si>
    <t>3D рабочая плита 1500x1500x100, 16 система, BASIC, без линейки, без азотирования</t>
  </si>
  <si>
    <t>3D рабочая плита 2000x1000x100, 16 система, BASIC, без линейки, без азотирования</t>
  </si>
  <si>
    <t>3D рабочая плита 2400x1200x100, 16 система, BASIC, без линейки, без азотирования</t>
  </si>
  <si>
    <t>3D рабочая плита 3000x1500x100, 16 система, BASIC, без линейки, без азотирования</t>
  </si>
  <si>
    <t>3D рабочая плита 1000x500x100, 16 система, BASIC D, с линейкой, без азотирования</t>
  </si>
  <si>
    <t>3D рабочая плита 1000x1000x100, 16 система, BASIC D, с линейкой, без азотирования</t>
  </si>
  <si>
    <t>3D рабочая плита 1200x1200x100, 16 система, BASIC D, с линейкой, без азотирования</t>
  </si>
  <si>
    <t>3D рабочая плита 1500x1000x100, 16 система, BASIC D, с линейкой, без азотирования</t>
  </si>
  <si>
    <t>3D рабочая плита 1500x1500x100, 16 система, BASIC D, с линейкой, без азотирования</t>
  </si>
  <si>
    <t>3D рабочая плита 2000x1000x100, 16 система, BASIC D, с линейкой, без азотирования</t>
  </si>
  <si>
    <t>3D рабочая плита 2400x1200x100, 16 система, BASIC D, с линейкой, без азотирования</t>
  </si>
  <si>
    <t>3D рабочая плита 3000x1500x100, 16 система, BASIC D, с линейкой, без азотирования</t>
  </si>
  <si>
    <t>3D рабочая плита 1000x500x100, 16 система, H type, без линейки, плазменное азотирование</t>
  </si>
  <si>
    <t>3D рабочая плита 1000x1000x100, 16 система, H type, без линейки, плазменное азотирование</t>
  </si>
  <si>
    <t>3D рабочая плита 1200x1200x100, 16 система, H type, без линейки, плазменное азотирование</t>
  </si>
  <si>
    <t>3D рабочая плита 1500x1000x100, 16 система, H type, без линейки, плазменное азотирование</t>
  </si>
  <si>
    <t>3D рабочая плита 1500x1500x100, 16 система, H type, без линейки, плазменное азотирование</t>
  </si>
  <si>
    <t>3D рабочая плита 2000x1000x100, 16 система, H type, без линейки, плазменное азотирование</t>
  </si>
  <si>
    <t>3D рабочая плита 2400x1200x100, 16 система, H type, без линейки, плазменное азотирование</t>
  </si>
  <si>
    <t>3D рабочая плита 3000x1500x100, 16 система, H type, без линейки, плазменное азотирование</t>
  </si>
  <si>
    <t>3D рабочая плита 1000x500x100, 16 система, HD type, с линейкой, плазменное азотирование</t>
  </si>
  <si>
    <t>3D рабочая плита 1000x1000x100, 16 система, HD type, с линейкой, плазменное азотирование</t>
  </si>
  <si>
    <t>3D рабочая плита 1200x1200x100, 16 система, HD type, с линейкой, плазменное азотирование</t>
  </si>
  <si>
    <t>3D рабочая плита 1500x1000x100, 16 система, HD type, с линейкой, плазменное азотирование</t>
  </si>
  <si>
    <t>3D рабочая плита 1500x1500x100, 16 система, HD type, с линейкой, плазменное азотирование</t>
  </si>
  <si>
    <t>3D рабочая плита 2000x1000x100, 16 система, HD type, с линейкой, плазменное азотирование</t>
  </si>
  <si>
    <t>3D рабочая плита 2400x1200x100, 16 система, HD type, с линейкой, плазменное азотирование</t>
  </si>
  <si>
    <t>3D рабочая плита 3000x1500x100, 16 система, HD type, с линейкой, плазменное азотирование</t>
  </si>
  <si>
    <t>Восьмиугольная рабочая плита SW600x100, без азотирования, 16 система</t>
  </si>
  <si>
    <t>Восьмиугольная рабочая плита SW800x100, без азотирования, 16 система</t>
  </si>
  <si>
    <t>Восьмиугольная рабочая плита SW1000x100, без азотирования, 16 система</t>
  </si>
  <si>
    <t>Восьмиугольная рабочая плита SW1200x100, без азотирования, 16 система</t>
  </si>
  <si>
    <t>Восьмиугольная рабочая плита SW600x100, плазменное азотирование, 16 система</t>
  </si>
  <si>
    <t>Восьмиугольная рабочая плита SW800x100, плазменное азотирование, 16 система</t>
  </si>
  <si>
    <t>Восьмиугольная рабочая плита SW1000x100, плазменное азотирование, 16 система</t>
  </si>
  <si>
    <t>Восьмиугольная рабочая плита SW1200x100, плазменное азотирование, 16 система</t>
  </si>
  <si>
    <t>S16-30250-102</t>
  </si>
  <si>
    <t>160140.N</t>
  </si>
  <si>
    <t>Упорный и крепежный угольник 250D, правый упор, плазменное азотирование, 16 система</t>
  </si>
  <si>
    <t>200x100x250x14</t>
  </si>
  <si>
    <t>200x100x250x14 мм
конструкционная сталь Q355
плазменное азотирование
7,1 кг</t>
  </si>
  <si>
    <t>Установочное кольцо для круглых труб струбцины, 16 система</t>
  </si>
  <si>
    <t>CS160790 (160705)</t>
  </si>
  <si>
    <t>CS160792 (160710)</t>
  </si>
  <si>
    <t>CS160715.4 (160715)</t>
  </si>
  <si>
    <t>160634.3 (160634.1)</t>
  </si>
  <si>
    <t>Раздел на сайте</t>
  </si>
  <si>
    <t>Подраздел на сайте</t>
  </si>
  <si>
    <t>3D сварочные столы 16 система</t>
  </si>
  <si>
    <t xml:space="preserve">	без азотирования без шкалы</t>
  </si>
  <si>
    <t>без азотирования со шкалой</t>
  </si>
  <si>
    <t>азотированные без шкалы</t>
  </si>
  <si>
    <t>азотированные со шкалой</t>
  </si>
  <si>
    <t>Восьмиугольные 3D сварочные столы 16 система</t>
  </si>
  <si>
    <t>азотированные</t>
  </si>
  <si>
    <t>Опоры для сварочных столов 16 система</t>
  </si>
  <si>
    <t>Упорные и крепежные углы 16 система</t>
  </si>
  <si>
    <t>Промежуточные блоки, модули и консоли 16 система</t>
  </si>
  <si>
    <t xml:space="preserve">	U блоки азотированные</t>
  </si>
  <si>
    <t>U блоки без азотирования</t>
  </si>
  <si>
    <t>Модули и консоли</t>
  </si>
  <si>
    <t>Стопоры, упоры и планки 16 система</t>
  </si>
  <si>
    <t>Болты 16 система</t>
  </si>
  <si>
    <t>Струбцины, зажимные устройства и комплектующие 16 система</t>
  </si>
  <si>
    <t>Вставки и призмы 16 система</t>
  </si>
  <si>
    <t>Аксессуары 16 система</t>
  </si>
  <si>
    <t>2-000940</t>
  </si>
  <si>
    <t>2-000810</t>
  </si>
  <si>
    <t>Миллиметровая шкала</t>
  </si>
  <si>
    <t>есть</t>
  </si>
  <si>
    <t>Производитель</t>
  </si>
  <si>
    <t>Strong Tool</t>
  </si>
  <si>
    <t>Диаметр отверстий, мм</t>
  </si>
  <si>
    <t>Необходимое количество опор, шт.</t>
  </si>
  <si>
    <t>Координатная сетка отверстий, мм</t>
  </si>
  <si>
    <t>прямая, 50x50</t>
  </si>
  <si>
    <t>Масса, кг</t>
  </si>
  <si>
    <t>Сварочные столы STRONG TOOL 16 системы предназначены для профессионального монтажа, сборки и сварки изделий. Неазотированное исполнение применяется для задач, не требующих высокой износостойкости и ударопрочности поверхности, обеспечивает улучшенную электропроводность и наилучшие результаты сварки при использовании зажима заземления, повышенную плоскостность поверхности из-за отсутствия дополнительной термообработки, снижение стоимости оборудования. Рабочее пространство может быть увеличено с помощью упорных и крепежных углов, промежуточных блоков и консолей, соединением с другими столами. Для увеличения производительности работы и простоты размещения деталей на рабочей поверхности размещены разметочные линии в обоих направлениях по всему периметру на расстоянии 50 мм друг от друга.
• материал стола конструкционная сталь Q355
• толщина материала 12 мм
• твердость рабочей поверхности 200-220 HV (Виккерсов)
• квалитет (ISO) IT7 
• плоскостность рабочих поверхностей столешницы  ±0,05 мм/м
• вертикальность рабочих поверхностей столешницы ±0,1 мм/м
• шероховатость Ra рабочих поверхностей столешницы 0,8~1,6 мкм
• прямая координатная сетка отверстий с шагом 50х50 мм
• три ряда системных отверстий на боковых поверхностях с шагом 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• высота боковой стенки столешницы 100 мм
По запросу возможно изготовление плит сварочных столов с двойной (диагональной) координатной сеткой или с индивидуальными размерами.</t>
  </si>
  <si>
    <t>Сварочные столы STRONG TOOL 16 системы предназначены для профессионального монтажа, сборки и сварки изделий. Неазотированное исполнение применяется для задач, не требующих высокой износостойкости и ударопрочности поверхности, обеспечивает улучшенную электропроводность и наилучшие результаты сварки при использовании зажима заземления, повышенную плоскостность поверхности из-за отсутствия дополнительной термообработки, снижение стоимости оборудования. Рабочее пространство может быть увеличено с помощью упорных и крепежных углов, промежуточных блоков и консолей, соединением с другими столами. Для увеличения производительности работы и простоты размещения деталей на рабочей поверхности размещены точная миллиметровая размерная шкала и разметочные линии в обоих направлениях по всему периметру на расстоянии 50 мм друг от друга.
• материал стола конструкционная сталь Q355
• толщина материала 12 мм
• твердость рабочей поверхности 200-220 HV (Виккерсов)
• квалитет (ISO) IT7 
• плоскостность рабочих поверхностей столешницы  ±0,05 мм/м
• вертикальность рабочих поверхностей столешницы ±0,1 мм/м
• шероховатость Ra рабочих поверхностей столешницы 0,8~1,6 мкм
• прямая координатная сетка отверстий с шагом 50х50 мм
• три ряда системных отверстий на боковых поверхностях с шагом 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• высота боковой стенки столешницы 100 мм
По запросу возможно изготовление плит сварочных столов с двойной (диагональной) координатной сеткой или с индивидуальными размерами.</t>
  </si>
  <si>
    <t>Сварочные столы STRONG TOOL 16 системы предназначены для профессионального монтажа, сборки и сварки изделий. Азотированное исполнение применяется для задач требующих высокой износостойкости и ударопрочности поверхности, повышает коррозионную стойкость и защищает от налипания сварочных брызг, увеличивает срок службы оборудования. Рабочее пространство может быть увеличено с помощью упорных и крепежных углов, промежуточных блоков и консолей, соединением с другими столами. Для увеличения производительности работы и простоты размещения деталей на рабочей поверхности размещены разметочные линии в обоих направлениях по всему периметру на расстоянии 50 мм друг от друга.
• материал стола конструкционная сталь Q355
• плазменное азотирование поверхности, глубина обработки 0,5 мм
• толщина материала 12 мм
• твердость базового материала 200-220 HV (Виккерсов)
• твердость рабочей поверхности 500-750 HV (Виккерсов)
• квалитет (ISO) IT7 
• плоскостность рабочих поверхностей столешницы  ±0,1 мм/м
• вертикальность рабочих поверхностей столешницы ±0,1 мм/м
• шероховатость Ra рабочих поверхностей столешницы 0,8~1,6 мкм
• прямая координатная сетка отверстий с шагом 50х50 мм
• три ряда системных отверстий на боковых поверхностях с шагом 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• высота боковой стенки столешницы 100 мм
По запросу возможно изготовление плит сварочных столов с двойной (диагональной) координатной сеткой или с индивидуальными размерами.</t>
  </si>
  <si>
    <t>Сварочные столы STRONG TOOL 16 системы предназначены для профессионального монтажа, сборки и сварки изделий. Азотированное исполнение применяется для задач требующих высокой износостойкости и ударопрочности поверхности, повышает коррозионную стойкость и защищает от налипания сварочных брызг, увеличивает срок службы оборудования. Рабочее пространство может быть увеличено с помощью упорных и крепежных углов, промежуточных блоков и консолей, соединением с другими столами. Для увеличения производительности работы и простоты размещения деталей на рабочей поверхности размещены точная миллиметровая размерная шкала и разметочные линии в обоих направлениях по всему периметру на расстоянии 50 мм друг от друга.
• материал стола конструкционная сталь Q355
• плазменное азотирование поверхности, глубина обработки 0,5 мм
• толщина материала 12 мм
• твердость базового материала 200-220 HV (Виккерсов)
• твердость рабочей поверхности 500-750 HV (Виккерсов)
• квалитет (ISO) IT7 
• плоскостность рабочих поверхностей столешницы  ±0,1 мм/м
• вертикальность рабочих поверхностей столешницы ±0,1 мм/м
• шероховатость Ra рабочих поверхностей столешницы 0,8~1,6 мкм
• прямая координатная сетка отверстий с шагом 50х50 мм
• три ряда системных отверстий на боковых поверхностях с шагом 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• высота боковой стенки столешницы 100 мм
По запросу возможно изготовление плит сварочных столов с двойной (диагональной) координатной сеткой или с индивидуальными размерами.</t>
  </si>
  <si>
    <t>Восьмиугольные (октогональные) сварочные столы STRONG TOOL 16 системы находят широкое применение в роботизированных сварочных комплексах. Неазотированное исполнение применяется для задач, не требующих высокой износостойкости и ударопрочности поверхности, обеспечивает улучшенную электропроводность и наилучшие результаты сварки при использовании зажима заземления, повышенную плоскостность поверхности из-за отсутствия дополнительной термообработки, снижение стоимости оборудования. Благодаря параллельному размещению сетки отверстий на всех девяти плоскостях, восьмиугольный стол имеет те же возможности зажима, что и профессиональный сварочный стол. В зависимости от индивидуальных потребностей можно подобрать стол, соответствующий производственному оборудованию заказчика. Для соединения восьмиугольного стола с манипулятором используется адаптерная плита, входящая в комплект поставки.
• материал стола конструкционная сталь Q355
• толщина материала 12 мм
• твердость рабочей поверхности 200-220 HV (Виккерсов)
• квалитет (ISO) IT7 
• плоскостность рабочих поверхностей столешницы  ±0,05 мм/м
• вертикальность рабочих поверхностей столешницы ±0,1 мм/м
• шероховатость Ra рабочих поверхностей столешницы 0,8~1,6 мкм
• прямая координатная сетка отверстий с шагом 50х50 мм
• два ряда системных отверстий на боковых поверхностях с шагом 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• высота боковой стенки столешницы 100 мм
По запросу возможно изготовление плит восьмиугольных (октогональных) сварочных столов с двойной (диагональной) координатной сеткой или с индивидуальными размерами, а так же адаптерной плиты с заданным рисунком соединительных отверстий.</t>
  </si>
  <si>
    <t>Восьмиугольные (октогональные) сварочные столы STRONG TOOL 16 системы находят широкое применение в роботизированных сварочных комплексах. Азотированное исполнение применяется для задач требующих высокой износостойкости и ударопрочности поверхности, повышает коррозионную стойкость и защищает от налипания сварочных брызг, увеличивает срок службы оборудования. Благодаря параллельному размещению сетки отверстий на всех девяти плоскостях, восьмиугольный стол имеет те же возможности зажима, что и профессиональный сварочный стол. В зависимости от индивидуальных потребностей можно подобрать стол, соответствующий производственному оборудованию заказчика. Для соединения восьмиугольного стола с манипулятором используется адаптерная плита, входящая в комплект поставки.
• материал стола конструкционная сталь Q355
• плазменное азотирование поверхности, глубина обработки 0,5 мм
• толщина материала 12 мм
• твердость базового материала 200-220 HV (Виккерсов)
• твердость рабочей поверхности 500-750 HV (Виккерсов)
• квалитет (ISO) IT7 
• плоскостность рабочих поверхностей столешницы  ±0,01 мм/м
• вертикальность рабочих поверхностей столешницы ±0,1 мм/м
• шероховатость Ra рабочих поверхностей столешницы 0,8~1,6 мкм
• прямая координатная сетка отверстий с шагом 50х50 мм
• два ряда системных отверстий на боковых поверхностях с шагом 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• высота боковой стенки столешницы 100 мм
По запросу возможно изготовление плит восьмиугольных (октогональных) сварочных столов с двойной (диагональной) координатной сеткой или с индивидуальными размерами, а так же адаптерной плиты с заданным рисунком соединительных отверстий.</t>
  </si>
  <si>
    <t>Ø89x750±30</t>
  </si>
  <si>
    <t>Стандартная опора для сварочных столов STRONG TOOL 16 системы изготовлена из конструкционной стали с порошковой окраской, имеет фиксированную высоту 750 мм с возможностью точной регулировки до 30 мм, способна выдерживать нагрузку до 2000 кг. Болт с потайной головкой для крепления к сварочному столу входит в комплект поставки. Высота рабочей поверхности сварочного стола 16 системы со стандартными опорами 850 мм.
По запросу возможно изготовление опор с индивидуальной высотой.</t>
  </si>
  <si>
    <t>Телескопическая опора для сварочных столов STRONG TOOL 16 системы изготовлена из конструкционной стали с порошковой окраской, имеет регулировку высоты от 550 до 900 мм с шагом 50 мм и возможность точной регулировки до 30 мм, способна выдерживать нагрузку до 2000 кг. Болт с потайной головкой для крепления к сварочному столу входит в комплект поставки. Высота рабочей поверхности сварочного стола 16 системы с телескопическими опорами от 650 до 1000 мм.</t>
  </si>
  <si>
    <t>Ø89x550-900±30</t>
  </si>
  <si>
    <t>Ø89x650±30</t>
  </si>
  <si>
    <t>Ø90x90x12</t>
  </si>
  <si>
    <t>Ø150x150x12</t>
  </si>
  <si>
    <t>Ø45x12</t>
  </si>
  <si>
    <t>Ø75x12</t>
  </si>
  <si>
    <t>Ø16-0,01x22-24</t>
  </si>
  <si>
    <t>Ø16-0,01x34-36</t>
  </si>
  <si>
    <t>Ø16x17</t>
  </si>
  <si>
    <t>Ø16x250</t>
  </si>
  <si>
    <t>Ø16x37</t>
  </si>
  <si>
    <t>Ø38x15</t>
  </si>
  <si>
    <t>Ø16x125</t>
  </si>
  <si>
    <t>Ø16x600</t>
  </si>
  <si>
    <t>Ø16x1000</t>
  </si>
  <si>
    <t>Ø16x6</t>
  </si>
  <si>
    <t>Ø22x13</t>
  </si>
  <si>
    <t>Ø20x14</t>
  </si>
  <si>
    <t>150x50x50xØ100</t>
  </si>
  <si>
    <t>Ø16, 5-50</t>
  </si>
  <si>
    <t>Ø16x50</t>
  </si>
  <si>
    <t>Ø16x100</t>
  </si>
  <si>
    <t>Ø50x35</t>
  </si>
  <si>
    <t>Ø80x50</t>
  </si>
  <si>
    <t>Ø16x200x45</t>
  </si>
  <si>
    <t>Колесная опора с тормозом для сварочных столов STRONG TOOL 16 системы повышает мобильность рабочего места сварщика, изготовлена из конструкционной стали с порошковой окраской, имеет фиксированную высоту 650 мм и возможность точной регулировки до 30 мм, способна выдерживать нагрузку до 600 кг. Болт с потайной головкой для крепления к сварочному столу входит в комплект поставки. Высота рабочей поверхности сварочного стола 16 системы с колесными опорами составляет 750 мм.</t>
  </si>
  <si>
    <t>Колесная опора с тормозом для сварочных столов STRONG TOOL 16 системы повышает мобильность рабочего места сварщика, изготовлена из конструкционной стали с порошковой окраской, имеет фиксированную высоту 750 мм и возможность точной регулировки до 30 мм, способна выдерживать нагрузку до 600 кг. Болт с потайной головкой для крепления к сварочному столу входит в комплект поставки. Высота рабочей поверхности сварочного стола 16 системы с колесными опорами составляет 850 мм.</t>
  </si>
  <si>
    <t>Колесная опора для сварочных столов STRONG TOOL 16 системы повышает мобильность рабочего места сварщика, изготовлена из конструкционной стали с порошковой окраской, имеет фиксированную высоту 650 мм и возможность точной регулировки до 30 мм, способна выдерживать нагрузку до 600 кг. Болт с потайной головкой для крепления к сварочному столу входит в комплект поставки. Высота рабочей поверхности сварочного стола 16 системы с колесными опорами составляет 750 мм.</t>
  </si>
  <si>
    <t>Колесная опора для сварочных столов STRONG TOOL 16 системы повышает мобильность рабочего места сварщика, изготовлена из конструкционной стали с порошковой окраской, имеет фиксированную высоту 750 мм и возможность точной регулировки до 30 мм, способна выдерживать нагрузку до 600 кг. Болт с потайной головкой для крепления к сварочному столу входит в комплект поставки. Высота рабочей поверхности сварочного стола 16 системы с колесными опорами составляет 850 мм.</t>
  </si>
  <si>
    <t>Анкерная опора для сварочных столов STRONG TOOL 16 системы предназначена для надежного крепления к полу (например, при использовании стола в составе роботизированного комплекса), изготовлена из конструкционной стали с порошковой окраской, имеет фиксированную высоту 650 мм с возможностью точной регулировки до 30 мм, способна выдерживать нагрузку до 2000 кг. Болт с потайной головкой для крепления к сварочному столу и комплект анкеров с винтами для крепления к полу входят в комплект поставки. Высота рабочей поверхности сварочного стола 16 системы с анкерными опорами 750 мм.
По запросу возможно изготовление анкерных опор с индивидуальной высотой.</t>
  </si>
  <si>
    <t xml:space="preserve">Упорный угол малый 37,5x37,5x25 мм, отверстие/отверстие, плазменное азотирование, 16 система </t>
  </si>
  <si>
    <t>37,5x37,5x25x12</t>
  </si>
  <si>
    <t>90x90x25x12</t>
  </si>
  <si>
    <t>90x37,5x25x12</t>
  </si>
  <si>
    <t>Упорный угол в комбинации отверстия/слот предоставляет широкие возможности зажима и многофункционального использования, в т.ч. для фиксации больших конструкций. Миллиметровая шкала упрощает точное позиционирование на сварочном столе.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
Опционально возможно индивидуальное изготовление данного угла из алюминиевого сплава или нержавеющей стали.</t>
  </si>
  <si>
    <t>Малый упорный угол идеально подходит для использования в ограниченном пространстве.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
Опционально возможно индивидуальное изготовление данного угла из алюминиевого сплава или нержавеющей стали.</t>
  </si>
  <si>
    <t>Упорный угол в комбинации слот/слот предоставляет широкие возможности зажима и многофункционального использования, в т.ч. для фиксации больших конструкций. Миллиметровая шкала упрощает точное позиционирование на сварочном столе.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
Опционально возможно индивидуальное изготовление данного угла из алюминиевого сплава или нержавеющей стали.</t>
  </si>
  <si>
    <t>Упорный угол в комбинации отверстия/отверстия предоставляет широкие возможности зажима и многофункционального использования, в т.ч. для фиксации больших конструкций.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
Опционально возможно индивидуальное изготовление данного угла из алюминиевого сплава или нержавеющей стали.</t>
  </si>
  <si>
    <t>Малый упорный угол в комбинации отверстие/слот идеально подходит для использования в ограниченном пространстве. Миллиметровая шкала упрощает точное позиционирование на сварочном столе.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
Опционально возможно индивидуальное изготовление данного угла из алюминиевого сплава или нержавеющей стали.</t>
  </si>
  <si>
    <t>140x90x25x12</t>
  </si>
  <si>
    <t>Большой упорный угол в комбинации отверстия/слот предоставляет широкие возможности зажима и многофункционального использования, в т.ч. для фиксации больших конструкций. Миллиметровая шкала упрощает точное позиционирование на сварочном столе.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</si>
  <si>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Упорный угол в комбинации отверстия/слот предоставляет широкие возможности зажима и многофункционального использования, в т.ч. для фиксации больших конструкций. Может применяться для увеличения рабочей поверхности сварочного стола.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</si>
  <si>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300x150x50x12</t>
  </si>
  <si>
    <t>500x150x50x12</t>
  </si>
  <si>
    <t>Поворотный угольник позволяет бесступенчато соединять зажимные элементы с отверстиями системы под углом 180°. Наилучшая фиксация достигается путем закрепления двумя болтами.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</si>
  <si>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Упорный и крепежный угол удобно регулируется благодаря сочетанию комбинации отверстий и слота, миллиметровая шкала упрощает точное позиционирование. Дополнительная верхняя полка расширяет возможности применения: можно комбинировать с другими угольниками или использовать в качестве адаптера для V-блоков и струбцин.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</si>
  <si>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150x90x35x12</t>
  </si>
  <si>
    <t>200x137.5x75x50</t>
  </si>
  <si>
    <t>400x187.5x75x50</t>
  </si>
  <si>
    <t>600x187.5x75x50</t>
  </si>
  <si>
    <t>Упорный и крепежный угол предоставляет максимальные возможности применения благодаря сочетанию комбинации отверстий и слотов, расположенных на четырех рабочих плоскостях. Идеально подходит для работы с тяжелыми деталями, используется как для увеличения рабочей поверхности, так и в качестве упора.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 Рекомендуется заказывать парно (левый и правый). Опционально возможно исполнение с миллиметровой шкалой.</t>
  </si>
  <si>
    <t>Универсальный регулируемый угол с гидромеханическим зажимом используется при высокоточной сборке угловых конструкций и обладает высокой удерживающей силой. С помощью данного элемента можно установить любой угол в диапазоне от 0° до 225°. Плавная регулировка, необслуживаемая конструкция, крепежное усилие до 160 Нм.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 Предельно точная настройка угла возможна с помощью цифрового датчика, который не входит в комплект поставки.</t>
  </si>
  <si>
    <t>Упорный и крепежный угол предоставляет широкие возможности применения благодаря наличию системных отверстий на трех рабочих плоскостях, расположенных по диагональной координатной сетке. Идеально подходит для работы с тяжелыми деталями, в сочетании с другими угольниками и упорами подходит для расширения рабочей поверхности или установки вертикальной надстройки.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</si>
  <si>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Планка с плоским углом удобно регулируется в пределах 100 мм с помощью комбинаций отверстий и слотов и предоставляет широкие возможности применения.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</si>
  <si>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диагональная, 50x50</t>
  </si>
  <si>
    <t>Толщина материала, мм</t>
  </si>
  <si>
    <t>Промежуточный U-образный блок 16 системы подходит не только для увеличения рабочей поверхности сварочного стола или вертикальной надстройки, но и применяется для плотного сцепления двух сварочных столов с помощью соединительных болтов. Благодаря наличию пяти рабочих поверхностей с диагональным расположением системных отверстий обеспечивается широкое многообразие вариантов для зажима и комбинирования с другими угольниками и упорами. Неазотированное исполнение применяется для задач, не требующих высокой износостойкости и ударопрочности поверхности, обеспечивает улучшенную электропроводность и наилучшие результаты сварки при использовании зажима заземления, повышенную плоскостность поверхности из-за отсутствия дополнительной термообработки, снижение стоимости оборудования.  Для удобства на рабочей поверхности размещены разметочные линии в обоих направлениях по всему периметру на расстоянии 50 мм друг от друга.
• материал блока конструкционная сталь Q355
• толщина материала 12 мм
• твердость рабочей поверхности 200-220 HV (Виккерсов)
• квалитет (ISO) IT7 
• плоскостность рабочих поверхностей блока  ±0,05 мм/м
• вертикальность рабочих поверхностей блока ±0,1 мм/м
• шероховатость Ra рабочих поверхностей блока 0,8~1,6 мкм
• диагональная координатная сетка отверстий с шагом 50х50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По запросу возможно изготовление промежуточных U-образных блоков с индивидуальными размерами.</t>
  </si>
  <si>
    <t>Промежуточный U-образный блок 16 системы подходит не только для увеличения рабочей поверхности сварочного стола или вертикальной надстройки, но и применяется для плотного сцепления двух сварочных столов с помощью соединительных болтов. Благодаря наличию пяти рабочих поверхностей с диагональным расположением системных отверстий обеспечивается широкое многообразие вариантов для зажима и комбинирования с другими угольниками и упорами. Азотированное исполнение применяется для задач требующих высокой износостойкости и ударопрочности поверхности, повышает коррозионную стойкость и защищает от налипания сварочных брызг, увеличивает срок службы оборудования.  Для удобства на рабочей поверхности размещены разметочные линии в обоих направлениях по всему периметру на расстоянии 50 мм друг от друга.
• материал блока конструкционная сталь Q355
• плазменное азотирование поверхности, глубина обработки 0,5 мм
• толщина материала 12 мм
• твердость базового материала 200-220 HV (Виккерсов)
• твердость рабочей поверхности 500-750 HV (Виккерсов)
• квалитет (ISO) IT7 
• плоскостность рабочих поверхностей блока  ±0,01 мм/м
• вертикальность рабочих поверхностей блока ±0,1 мм/м
• шероховатость Ra рабочих поверхностей блока 0,8~1,6 мкм
• диагональная координатная сетка отверстий с шагом 50х50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По запросу возможно изготовление промежуточных U-образных блоков с индивидуальными размерами.</t>
  </si>
  <si>
    <t>Промежуточный U-образный блок 16 системы подходит не только для увеличения рабочей поверхности сварочного стола или вертикальной надстройки, но и применяется для плотного сцепления двух сварочных столов с помощью соединительных болтов. Пять рабочих поверхностей с прямым расположением системных отверстий обеспечивает широкое многообразие вариантов для зажима и комбинирования с другими угольниками и упорами. Азотированное исполнение применяется для задач требующих высокой износостойкости и ударопрочности поверхности, повышает коррозионную стойкость и защищает от налипания сварочных брызг, увеличивает срок службы оборудования.  Для удобства на рабочей поверхности размещены разметочные линии в обоих направлениях по всему периметру на расстоянии 50 мм друг от друга.
• материал блока конструкционная сталь Q355
• плазменное азотирование поверхности, глубина обработки 0,5 мм
• толщина материала 12 мм
• твердость базового материала 200-220 HV (Виккерсов)
• твердость рабочей поверхности 500-750 HV (Виккерсов)
• квалитет (ISO) IT7 
• плоскостность рабочих поверхностей блока  ±0,01 мм/м
• вертикальность рабочих поверхностей блока ±0,1 мм/м
• шероховатость Ra рабочих поверхностей блока 0,8~1,6 мкм
• прямая координатная сетка отверстий с шагом 50х50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По запросу возможно изготовление промежуточных U-образных блоков с индивидуальными размерами.</t>
  </si>
  <si>
    <t>Промежуточный U-образный блок 16 системы подходит не только для увеличения рабочей поверхности сварочного стола или вертикальной надстройки, но и применяется для плотного сцепления двух сварочных столов с помощью соединительных болтов. Пять рабочих поверхностей с прямым расположением системных отверстий обеспечивает широкое многообразие вариантов для зажима и комбинирования с другими угольниками и упорами. Неазотированное исполнение применяется для задач, не требующих высокой износостойкости и ударопрочности поверхности, обеспечивает улучшенную электропроводность и наилучшие результаты сварки при использовании зажима заземления, повышенную плоскостность поверхности из-за отсутствия дополнительной термообработки, снижение стоимости оборудования.  Для удобства на рабочей поверхности размещены разметочные линии в обоих направлениях по всему периметру на расстоянии 50 мм друг от друга.
• материал блока конструкционная сталь Q355
• толщина материала 12 мм
• твердость рабочей поверхности 200-220 HV (Виккерсов)
• квалитет (ISO) IT7 
• плоскостность рабочих поверхностей блока  ±0,05 мм/м
• вертикальность рабочих поверхностей блока ±0,1 мм/м
• шероховатость Ra рабочих поверхностей блока 0,8~1,6 мкм
• прямая координатная сетка отверстий с шагом 50х50 мм
• диаметр системных отверстий 16,08~16,10 мм
• межосевое расстояние между отверстиями 50±0,02 мм
• предохранительная зенковка отверстий R3 на рабочих поверхностях
По запросу возможно изготовление промежуточных U-образных блоков с индивидуальными размерами.</t>
  </si>
  <si>
    <t>Универсальный стопор малый надежно фиксируется с помощью двух системных отверстий, незаменим в местах с ограниченным пространством.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</si>
  <si>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Универсальный стопор предоставляет широкие возможности применения благодаря комбинации отверстия и слота, бесступенчатая регулировка в диапазоне от 0 до 50 мм, дополнительные выемки играют роль угловых упоров, миллиметровая шкала обеспечивает точное позиционирование, может использоваться при работе с V-блоками и адаптерами.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</si>
  <si>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Стопор используется для фиксации различных элементов, имеет бесступенчатую регулировку с помощью отверстия слота в диапазоне от 0 до 50 мм, миллиметровая шкала обеспечивает точное позиционирование.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</si>
  <si>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Универсальный стопор предоставляет широкие возможности применения благодаря комбинации отверстия и слота, бесступенчатая регулировка в диапазоне от 0 до 50 мм, может использоваться при работе с V-блоками и адаптерами.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</si>
  <si>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Стопорная планка благодаря комбинации слота и отверстий обеспечивает широкую вариативность позиционирования и фиксации, бесступенчатая регулировка в диапазоне от 0 до 100 мм, может использоваться совместно с V-блоками и струбцинами.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</si>
  <si>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Универсальный упор предоставляет широкие возможности применения благодаря комбинации трех отверстий и слота, бесступенчатая регулировка в диапазоне от 0 до 50 мм, может использоваться при работе с V-блоками и адаптерами или в качестве бокового упора.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</si>
  <si>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Эксцентриковые упоры отлично подходят для точной подгонки элементов, фиксируются с помощью болта, предельно компактны и легко регулируются без отрыва от поверхности стола, незаменимы в условиях ограниченного пространства.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</si>
  <si>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Переходная плита многофункциональна в использовании и применяется для сопряжения различных элементов 3D системы.  Например, закрепив плиту болтами через слот на ребре упорного угла, в системные отверстия плиты можно одновременно установить до четырех струбцин.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</si>
  <si>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Благодаря двусторонней шкале с ценой деления в 1° транспортир позволяет добиться точной настройки угла, бесступенчато в диапазоне 0-90° или с шагом 15° в диапазоне 0-60°.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</si>
  <si>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Угловой модуль необходим для диагонального расширения рабочего пространства путем крепления к боковой поверхности сварочного стола под углом 45°. Применяется в сочетании с промежуточными U-образными блоками, упорными и крепежными углами, V-блоками и иными элементами 3D системы.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</si>
  <si>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Консоль обладает широкими возможностями применения благодаря наличию пяти полноценных поверхностей зажима, комбинации системных отверстий, расположенных с шагом 25 мм, и слотов длиной 125 мм. Может использоваться для удлинения рабочей поверхности стола, соединения или поддержки, в сочетании с V-блоками, упорами, стопорами и другими элементами 3D системы. Азотированное исполнение обеспечивает высокие износостойкость и ударопрочность поверхности, повышает коррозионную стойкость, защищает от налипания сварочных брызг, увеличивает срок службы.</t>
  </si>
  <si>
    <t>инструментальная легированная сталь</t>
  </si>
  <si>
    <t xml:space="preserve">Короткий быстрозажимной болт используется для соединения двух элементов 16 системы Strong Tool. Эргономичная конструкция головки болта. Максимальный момент затяжки достигается с помощью шестигранного ключа SW8. Четыре зажимных шарика, защищенные от выпадения, обеспечивают равномерный зажим, а уплотнительные кольца препятствуют вращению при затяжке и одновременно очищают системное отверстие.
• инструментальная легированная сталь
• квалитет (ISO) IT7
• шероховатость Ra рабочей поверхности 0,8 мкм
• диаметр 15,99 мм 
• предельная зона зажима 22 ~ 24 мм
• усилие растяжения max 10 кН
• срезывающее усилие max 50 кН
• момент затяжки 20 Нм
Запрещается превышение указанных нагрузок при использовании болтов.
</t>
  </si>
  <si>
    <t>Длинный быстрозажимной болт используется для соединения трех элементов 16 системы Strong Tool. Эргономичная конструкция головки болта. Максимальный момент затяжки достигается с помощью шестигранного ключа SW8. Четыре зажимных шарика, защищенные от выпадения, обеспечивают равномерный зажим, а уплотнительные кольца препятствуют вращению при затяжке и одновременно очищают системное отверстие.
• инструментальная легированная сталь
• квалитет (ISO) IT7
• шероховатость Ra рабочей поверхности 0,8 мкм
• диаметр 15,99 мм 
• предельная зона зажима 33 ~ 36 мм
• усилие растяжения max 10 кН
• срезывающее усилие max 50 кН
• момент затяжки 20 Нм
Запрещается превышение указанных нагрузок при использовании болтов.</t>
  </si>
  <si>
    <t>Короткий быстрозажимной болт с потайной головкой используется для соединения двух элементов 16 системы Strong Tool. Подходит только для системных отверстий и не предназначен для слотов. Углубленная головка болта обеспечивает экономию пространства. Затяжка с помощью шестигранного ключа SW4. Четыре зажимных шарика, защищенные от выпадения, обеспечивают равномерный зажим, а уплотнительные кольца препятствуют вращению при затяжке и одновременно очищают системное отверстие.
• инструментальная легированная сталь
• квалитет (ISO) IT7
• шероховатость Ra рабочей поверхности 0,8 мкм
• диаметр 15,99 мм 
• предельная зона зажима 22 ~ 24 мм
• усилие растяжения max 3 кН
• срезывающее усилие max 50 кН
• момент затяжки 10 Нм
Запрещается превышение указанных нагрузок при использовании болтов.</t>
  </si>
  <si>
    <t>Длинный быстрозажимной болт с потайной головкой используется для соединения трех элементов 16 системы Strong Tool. Подходит только для системных отверстий и не предназначен для слотов. Углубленная головка болта обеспечивает экономию пространства. Затяжка с помощью шестигранного ключа SW4. Четыре зажимных шарика, защищенные от выпадения, обеспечивают равномерный зажим, а уплотнительные кольца препятствуют вращению при затяжке и одновременно очищают системное отверстие.
• инструментальная легированная сталь
• квалитет (ISO) IT7
• шероховатость Ra рабочей поверхности 0,8 мкм
• диаметр 15,99 мм 
• предельная зона зажима 33 ~ 36 мм
• усилие растяжения max 3 кН
• срезывающее усилие max 50 кН
• момент затяжки 10 Нм
Запрещается превышение указанных нагрузок при использовании болтов.</t>
  </si>
  <si>
    <t>Короткая соединительная гильза используется для прочного длительного соединения двух элементов 16 системы Strong Tool. Подходит только для системных отверстий и не предназначена для слотов. Двусторонняя потайная головка с самоцентровкой. Отделка чернением. Затяжка с помощью шестигранного ключа SW6. Оптимальна для соединения сварочных столов с промежуточными U-образными блоками и т.п.</t>
  </si>
  <si>
    <t xml:space="preserve">Длинная соединительная гильза используется для прочного длительного соединения трех элементов 16 системы Strong Tool. Подходит только для системных отверстий и не предназначена для слотов. Двусторонняя потайная головка с самоцентровкой. Отделка чернением. Затяжка с помощью шестигранного ключа SW6. </t>
  </si>
  <si>
    <t>Установочный штифт предназначен для позиционирования элементов 16 системы Strong Tool. В комбинации с одним быстрозажимным болтом может использоваться для фиксации упорного и крепежного угла или на поверхности стола, что позволяет снизить стоимость оснастки. Отделка чернением.</t>
  </si>
  <si>
    <t>D16-07004-000</t>
  </si>
  <si>
    <t>D16-07004-001</t>
  </si>
  <si>
    <t>D16-07004-002</t>
  </si>
  <si>
    <t>D16-07004-003</t>
  </si>
  <si>
    <t>Струбцина 180° обеспечивает быстрый, сильный и точный зажим различных сварочных элементов, фиксируется в любом системном отверстии 16 системы Strong Tool с помощью установочного кольца. Имеет прочную и эргономичную конструкцию, предоставляющую широкий диапазон регулировок и обеспечивающую длительный срок эксплуатации. Каждая труба струбцины может использоваться по отдельности. Возможность замены шпинделя, прижимных опор и зажимных дисков (приобретаются отдельно). Максимальная ширина зажима 90 мм, максимальное усилие зажима 400 кг. 
По запросу возможно изготовление струбцин с индивидуальными размерами.</t>
  </si>
  <si>
    <t>Струбцина 180° обеспечивает быстрый, сильный и точный зажим различных сварочных элементов, фиксируется в любом системном отверстии 16 системы Strong Tool с помощью установочного кольца. Имеет прочную и эргономичную конструкцию, предоставляющую широкий диапазон регулировок и обеспечивающую длительный срок эксплуатации. Каждая труба струбцины может использоваться по отдельности. Возможность замены шпинделя, прижимных опор и зажимных дисков (приобретаются отдельно). Максимальная ширина зажима 130 мм, максимальное усилие зажима 400 кг. 
По запросу возможно изготовление струбцин с индивидуальными размерами.</t>
  </si>
  <si>
    <t>Струбцина 180° с быстрозажимным шпинделем до пяти раз увеличивает скорость зажима в сравнении со стандартным шпинделем. Рычаг быстрозажимного шпинделя вращается на 360°, не мешает работе и не сужает область применения. Сильный и точный зажим различных сварочных элементов, фиксируется в любом системном отверстии 16 системы Strong Tool с помощью установочного кольца. Имеет прочную и эргономичную конструкцию, предоставляющую широкий диапазон регулировок и обеспечивающую длительный срок эксплуатации. Каждая труба струбцины может использоваться по отдельности. Возможность замены шпинделя, прижимных опор и зажимных дисков (приобретаются отдельно). Максимальная ширина зажима 90 мм, максимальное усилие зажима 400 кг. 
По запросу возможно изготовление струбцин с индивидуальными размерами.</t>
  </si>
  <si>
    <t>Струбцина 180° с коротким шпинделем применяется при недостатке места, регулируется с помощью вилочного ключа SW14, обеспечивает быстрый, сильный и точный зажим различных сварочных элементов, фиксируется в любом системном отверстии 16 системы Strong Tool с помощью установочного кольца. Имеет прочную и эргономичную конструкцию, предоставляющую широкий диапазон регулировок и обеспечивающую длительный срок эксплуатации. Каждая труба струбцины может использоваться по отдельности. Возможность замены шпинделя, прижимных опор и зажимных дисков (приобретаются отдельно). Максимальная ширина зажима 90 мм, максимальное усилие зажима 400 кг. 
По запросу возможно изготовление струбцин с индивидуальными размерами.</t>
  </si>
  <si>
    <t>Струбцина с направлением прижима 90° к системному отверстию, ход шпинделя около 30 мм, максимальная ширина зажима 40 мм, быстрая «перекидка» на 180° с фиксацией шара в шарнире, максимальное усилие зажима 400 кг. Струбцина обеспечивает быстрый, сильный и точный зажим различных сварочных элементов, фиксируется в любом системном отверстии 16 системы Strong Tool с помощью установочного кольца. Имеет прочную и эргономичную конструкцию, обеспечивающую длительный срок эксплуатации. Возможность замены прижимных опор и зажимных дисков (приобретаются отдельно). 
По запросу возможно изготовление струбцин с индивидуальными размерами.</t>
  </si>
  <si>
    <t>Струбцина толкающего типа с направлением прижима 45° к системному отверстию оптимально приспособлена для зажима прямоугольных, квадратных и призматических профилей. Сильный и точный зажим различных сварочных элементов, фиксируется в любом системном отверстии 16 системы Strong Tool с помощью установочного кольца. Имеет прочную и эргономичную конструкцию, предоставляющую широкий диапазон регулировок и обеспечивающую длительный срок эксплуатации. Каждая труба струбцины может использоваться по отдельности. Возможность замены шпинделя, прижимных опор и зажимных дисков (приобретаются отдельно). Максимальная ширина зажима 90 мм, максимальное усилие зажима 400 кг.
По запросу возможно изготовление струбцин с индивидуальными размерами.</t>
  </si>
  <si>
    <t>Струбцина толкающего типа с направлением прижима 45° к системному отверстию оптимально приспособлена для зажима прямоугольных, квадратных и призматических профилей. Короткий шпиндель регулируется с помощью вилочного ключа SW14 и позволяет использовать струбцину при недостатке места. Сильный и точный зажим различных сварочных элементов, фиксируется в любом системном отверстии 16 системы Strong Tool с помощью установочного кольца. Имеет прочную и эргономичную конструкцию, предоставляющую широкий диапазон регулировок и обеспечивающую длительный срок эксплуатации. Каждая труба струбцины может использоваться по отдельности. Возможность замены шпинделя, прижимных опор и зажимных дисков (приобретаются отдельно). Максимальная ширина зажима 90 мм, максимальное усилие зажима 400 кг.
По запросу возможно изготовление струбцин с индивидуальными размерами.</t>
  </si>
  <si>
    <t>Струбцина толкающего типа с направлением прижима 45° к системному отверстию оптимально приспособлена для зажима прямоугольных, квадратных и призматических профилей. Быстрозажимной шпиндель до пяти раз увеличивает скорость зажима в сравнении со стандартным шпинделем. Рычаг быстрозажимного шпинделя вращается на 360°, не мешает работе и не сужает область применения. Сильный и точный зажим различных сварочных элементов, фиксируется в любом системном отверстии 16 системы Strong Tool с помощью установочного кольца. Имеет прочную и эргономичную конструкцию, предоставляющую широкий диапазон регулировок и обеспечивающую длительный срок эксплуатации. Каждая труба струбцины может использоваться по отдельности. Возможность замены шпинделя, прижимных опор и зажимных дисков (приобретаются отдельно). Максимальная ширина зажима 90 мм, максимальное усилие зажима 400 кг.
По запросу возможно изготовление струбцин с индивидуальными размерами.</t>
  </si>
  <si>
    <t>адаптер Ø38x15</t>
  </si>
  <si>
    <t xml:space="preserve">оцинкованная инструментальная и конструкционная сталь Q355
</t>
  </si>
  <si>
    <t>Зажимная труба подходит для любого системного отверстия 16 системы Strong Tool, может фиксироваться с помощью установочного кольца (приобретается отдельно), использоваться для выравнивающих струбцин и т.п.</t>
  </si>
  <si>
    <t>Установочное кольцо предназначено для фиксации высоты струбцин 16 системы Strong Tool. Входит в комплект поставки струбцин.</t>
  </si>
  <si>
    <t>Прижимная опора для струбцин 16 системы Strong Tool с крестовым V-блоком подходит для зажима как круглого, так и прямоугольного профиля, обеспечивает точное прилегание. Изготавливается из различных материалов: сталь, нержавеющая сталь, полиамид, алюминиевый сплав. Быстрая смена без использования инструмента. Уплотнительное кольцо препятствует проникновению грязи в зону шарнира. Может использоваться как вставка в любом системном отверстии.</t>
  </si>
  <si>
    <t>Зажимной диск шаровой формы для струбцин 16 системы Strong Tool идеально подходит для зажима углового профиля, обеспечивает точное прилегание и компенсацию угловых погрешностей. Изготавливается из различных материалов: сталь, нержавеющая сталь, полиамид, алюминиевый сплав. Быстрая смена без использования инструмента. Уплотнительное кольцо препятствует проникновению грязи в зону шарнира.</t>
  </si>
  <si>
    <t>Шпиндель с втулкой и зажимным диском может использоваться как запасная часть для струбцин 16 системы Strong Tool, так и в качестве самостоятельного элемента путем фиксации втулки в любом системном отверстии. Рукоятка шпинделя изготовлена из высококачественного двухкомпонентного пластика. Быстросъемный зажимной диск с V-блоком обеспечивает надежный прижим.</t>
  </si>
  <si>
    <t>Короткий шпиндель с втулкой и зажимным диском рекомендуется при недостатке места, может использоваться как запасная часть для струбцин 16 системы Strong Tool, так и в качестве самостоятельного элемента путем фиксации втулки в любом системном отверстии. Регулируется с помощью вилочного ключа SW14. Быстросъемный зажимной диск с V-блоком обеспечивает надежный прижим.</t>
  </si>
  <si>
    <t>Переходная втулка используется для крепления болтов и струбцин 16 системы Strong Tool в системных отверстиях 28 системы. Самоцентрирующееся соединение. Обеспечивает надежное силовое и геометрическое замыкание благодаря уплотнительному кольцу, препятствующему вращению при затяжке болтов и очищающему системное отверстие.</t>
  </si>
  <si>
    <t>Переходная пластина используется для крепления элементов 28 системы Strong Tool (например, струбцин) в системных отверстиях 16 системы. Фиксируется с помощью двух быстрозажимных болтов 16 системы (приобретаются отдельно). Обеспечивает надежное силовое и геометрическое замыкание.</t>
  </si>
  <si>
    <t>Комплект вставок из девяти элементов предназначен для компенсации разницы высоты в диапазоне 5-50 мм к соответствующей поверхности прилегания. Минимальный шаг 1 мм. Компенсационные шайбы надежно фиксируются с помощью оправки, оснащенной уплотнительными кольцами, в любом системном отверстии 16 системы Strong Tool. Комплект поставки: оправка 55+5 мм, компенсационные вставки толщиной: 1, 2, 2.5, 3, 4, 5, 10, 20 мм</t>
  </si>
  <si>
    <t>V-блок диаметром 50 мм, высотой 35 мм и углами 120°/90° предназначен для работы с трубами диаметром до 70 мм, а так же прямоугольным профилем. Фиксируется в любом системном отверстии с помощью короткого быстрозажимного болта (арт. 16-60041-001) или оправки при использовании комплекта вставок (арт. 16-90001-000). Изготавливается из различных материалов: сталь, полиамид, нержавеющая сталь.</t>
  </si>
  <si>
    <t>V-блок диаметром 80 мм, высотой 50 мм и углами 120°/90° предназначен для работы с трубами диаметром до 140 мм, а так же прямоугольным профилем. Фиксируется в любом системном отверстии с помощью короткого быстрозажимного болта (арт. 16-60041-001) или оправки при использовании комплекта вставок (арт. 16-90001-000). Изготавливается из различных материалов: сталь, полиамид, нержавеющая сталь.</t>
  </si>
  <si>
    <t>Удлинитель V-блоков 50 мм предназначен для всех типов призм 16 системы Siegmund (аналог арт. 2-160649.1). Быстро и надежно вкручивается во все призмы, может использоваться совместно с подставками (арт. 160821) или поддерживающим винтом (арт. 160822).</t>
  </si>
  <si>
    <t>Удлинитель V-блоков 100 мм предназначен для всех типов призм 16 системы Siegmund (аналог арт. 2-160649.1). Быстро и надежно вкручивается во все призмы, может использоваться совместно с подставками (арт. 160821) или поддерживающим винтом (арт. 160822).</t>
  </si>
  <si>
    <t>Удлинитель V-блоков 50 для 16 системы Siegmund</t>
  </si>
  <si>
    <t>Удлинитель V-блоков 100 для 16 системы Siegmund</t>
  </si>
  <si>
    <t>Транспортировочная скоба изготовлена из конструкционной стали с порошковой окраской, обладает несущей способностью до 2500 кг, используется для перемещения сварочных столов, а так же других тяжелых элементов системы. Быстро крепится к элементам при помощи как минимум двух болтов (арт. 16-60041-001, не входят в комплект поставки). В зависимости от способа применения несущая способность скобы может существенно снижаться, следует избегать боковой тяги.
При работе с транспортировочной скобой необходимо соблюдать общие и нижеследующие требования безопасности:
• скоба крепится к перемещаемому элементу при помощи как минимум двух болтов
• запрещается использовать болты с потайной головкой!
• запрещается использовать поврежденные транспортировочные скобы и болты!
• транспортировочная скоба должна крепиться по центру плиты стола, при использовании двух скоб они должны крепиться симметрично по центру стола, при этом максимальный подъем под углом не должен превышать 45°
• в процессе транспортировки элементы не следует поднимать на высоту более 100 мм 
• запрещается находиться под перемещаемым грузом</t>
  </si>
  <si>
    <t>Дисковая щетка с щетиной из нержавеющей стали и эргономичной пластиковой рукояткой предназначена для очистки  отверстий 16 системы от загрязнений.</t>
  </si>
  <si>
    <t>Флакон-дозатор используется для нанесения антипригарной жидкости (приобретается отдельно) защищающей поверхность стола и оснастки от налипания сварочных брызг. Емкость 1 литр. Оснащен ручным насосом, регулируемой распылительной головкой и кнопкой подачи жидкости. Изготовлен из высококачественного пластика, имеет надежную конструкцию, сохраняющую давление.</t>
  </si>
  <si>
    <t>Точильный брусок (комбинированный оселок) является оптимальным инструментом для очистки поверхности сварочного стола и элементов системы. НЕ ПРИМЕНЯТЬ ДЛЯ СВАРОЧНЫХ СТОЛОВ И ЭЛЕМЕНТОВ С ПЛАЗМЕННЫМ АЗОТИРОВАНИЕМ!</t>
  </si>
  <si>
    <t xml:space="preserve">Зажим заземления легко устанавливается в любое системное отверстие сварочного стола, обеспечивает 100% контакт, исключающий перегрев кабеля. Совместим со стандартными кабелями поперечным сечением 50-70 мм2. Нагрузка до 400 А. Быстроразъемное соедиение. </t>
  </si>
  <si>
    <t>Тележка для принадлежностей обеспечивает достаточное пространство для аккуратного размещения приспособлений 16 системы Strong Tool. Необходимые элементы всегда будут находиться у Вас под рукой. Большие упорные и крепежные углы надежно и практично хранятся внутри, обеспечивая низкий центр тяжести. Благодаря четырем прочным поворотным роликам и удобным ручкам из алюминиевого сплава тележка легко перемещается от одного рабочего места к другому. Порошковая окраска. Максимальная полезная нагрузка 200 кг</t>
  </si>
  <si>
    <t>Тумба для инструментов предназначена для хранения приспособлений 16 системы Strong Tool и поддержания порядка на рабочем месте. Быстрый доступ к системным деталям. Защита от загрязнения благодаря конструкции с четырьмя закрывающимися ящиками с возможностью запирания. Передвижение на четырех прочных роликах, два из которых поворотные и фиксирующиеся. Порошковая окраска. Максимальная полезная нагрузка 150 кг</t>
  </si>
  <si>
    <t>Шестигранный ключ SW6 с шаровой головкой изготовлен из высококачественной инструментальной стали и предназначен для прочной затяжки соединительных гильз 16 системы Strong Tool арт. 16-60003-000 и 16-60003-002</t>
  </si>
  <si>
    <t>Шестигранный ключ SW8 с шаровой головкой изготовлен из высококачественной инструментальной стали и предназначен для прочной затяжки быстрозажимных болтов 16 системы Strong Tool арт. 16-60041-001 и 16-60041-002.</t>
  </si>
  <si>
    <t>Особенности</t>
  </si>
  <si>
    <t>плазменное азотирование</t>
  </si>
  <si>
    <t>порошковая окраска</t>
  </si>
  <si>
    <t>отделка чернением</t>
  </si>
  <si>
    <t>оксидированное покрытие</t>
  </si>
  <si>
    <t>Аналог Demmeler</t>
  </si>
  <si>
    <t xml:space="preserve">Аналог Siegmund </t>
  </si>
  <si>
    <t>алюминиевый сплав</t>
  </si>
  <si>
    <t>Артикул</t>
  </si>
  <si>
    <t>Наименование артикула</t>
  </si>
  <si>
    <t>Описание ддя сайта</t>
  </si>
  <si>
    <t>Изображение 2</t>
  </si>
  <si>
    <t>Шестигранный ключ SW4 с шаровой головкой изготовлен из высококачественной инструментальной стали и предназначен для прочной затяжки быстрозажимных болтов с потайной головкой 16 системы Strong Tool арт. 16-60042-001 и 16-60042-002</t>
  </si>
  <si>
    <t>Оцинкованное шатунное быстрозажимное устройство с адаптером (отделка чернением) фиксируется в любом  системном отверстии 16 системы Strong Tool с помощью потайного болта (входит в комплект поставки) под шестигранный ключ SW6, обеспечивает регулируемый диапазон горизонтального прижима 0-20 мм, удобно и безопасно в использовании.</t>
  </si>
  <si>
    <t>Оцинкованное вертикальное быстрозажимное устройство с адаптером (отделка чернением) фиксируется в любом  системном отверстии 16 системы Strong Tool с помощью потайного болта (входит в комплект поставки) под шестигранный ключ SW6, обеспечивает регулируемый диапазон вертикального прижима 0-25 мм, удобно и безопасно в использовании.</t>
  </si>
  <si>
    <t>Адаптер для крепления быстрозажимных устройств, фиксируется в любом системном отверстии 16 системы Strong Tool с помощью потайного болта под шестигранный ключ SW6. Отделка чернением. Комплект поставки: адаптер 1 шт., болты M4x10 - 4 шт., потайной болт M10x20 - 1 шт.</t>
  </si>
  <si>
    <t>106.png</t>
  </si>
  <si>
    <t>16-86001-001 (pic2).png</t>
  </si>
  <si>
    <t>16-86001-002 (pic2).png</t>
  </si>
  <si>
    <t>/upload/img-catalog/16-01005-000.jpg.png</t>
  </si>
  <si>
    <t>/upload/img-catalog/16-01010-000.jpg.png</t>
  </si>
  <si>
    <t>/upload/img-catalog/16-01212-000.jpg.png</t>
  </si>
  <si>
    <t>/upload/img-catalog/16-01510-000.jpg.png</t>
  </si>
  <si>
    <t>/upload/img-catalog/16-01515-000.jpg.png</t>
  </si>
  <si>
    <t>/upload/img-catalog/16-02010-000.jpg.png</t>
  </si>
  <si>
    <t>/upload/img-catalog/16-02412-000.jpg.png</t>
  </si>
  <si>
    <t>/upload/img-catalog/16-03015-000.jpg.png</t>
  </si>
  <si>
    <t>/upload/img-catalog/16-01005-120.jpg.png</t>
  </si>
  <si>
    <t>/upload/img-catalog/16-01010-120.jpg.png</t>
  </si>
  <si>
    <t>/upload/img-catalog/16-01212-120.jpg.png</t>
  </si>
  <si>
    <t>/upload/img-catalog/16-01510-120.jpg.png</t>
  </si>
  <si>
    <t>/upload/img-catalog/16-01515-120.jpg.png</t>
  </si>
  <si>
    <t>/upload/img-catalog/16-02010-120.jpg.png</t>
  </si>
  <si>
    <t>/upload/img-catalog/16-02412-120.jpg.png</t>
  </si>
  <si>
    <t>/upload/img-catalog/16-03015-120.jpg.png</t>
  </si>
  <si>
    <t>/upload/img-catalog/105.png</t>
  </si>
  <si>
    <t>/upload/img-catalog/00-B0010-001.png</t>
  </si>
  <si>
    <t>/upload/img-catalog/00-B0010-002.png</t>
  </si>
  <si>
    <t>/upload/img-catalog/00-B0010-003.png</t>
  </si>
  <si>
    <t>/upload/img-catalog/00-B0010-023.png</t>
  </si>
  <si>
    <t>/upload/img-catalog/00-B0010-013.png</t>
  </si>
  <si>
    <t>/upload/img-catalog/00-B0010-033.png</t>
  </si>
  <si>
    <t>/upload/img-catalog/00-B0010-004.png</t>
  </si>
  <si>
    <t>/upload/img-catalog/16-30037-000.png</t>
  </si>
  <si>
    <t>/upload/img-catalog/16-30090-000.png</t>
  </si>
  <si>
    <t>/upload/img-catalog/16-30090-001.png</t>
  </si>
  <si>
    <t>/upload/img-catalog/16-30090-002.png</t>
  </si>
  <si>
    <t>/upload/img-catalog/16-30090-003.png</t>
  </si>
  <si>
    <t>/upload/img-catalog/16-30140-003.png</t>
  </si>
  <si>
    <t>/upload/img-catalog/16-30300-004.png</t>
  </si>
  <si>
    <t>/upload/img-catalog/16-30500-004.png</t>
  </si>
  <si>
    <t>/upload/img-catalog/16-30090-004.png</t>
  </si>
  <si>
    <t>/upload/img-catalog/16-30150-004.png</t>
  </si>
  <si>
    <t>/upload/img-catalog/16-30150-001.png</t>
  </si>
  <si>
    <t>/upload/img-catalog/16-30200-000.png</t>
  </si>
  <si>
    <t>/upload/img-catalog/16-30200-001.png</t>
  </si>
  <si>
    <t>/upload/img-catalog/16-30400-000.png</t>
  </si>
  <si>
    <t>/upload/img-catalog/16-30400-001.png</t>
  </si>
  <si>
    <t>/upload/img-catalog/16-30600-000.png</t>
  </si>
  <si>
    <t>/upload/img-catalog/16-30600-001.png</t>
  </si>
  <si>
    <t>/upload/img-catalog/16-30225-001.png</t>
  </si>
  <si>
    <t>/upload/img-catalog/16-30225-002.png</t>
  </si>
  <si>
    <t>/upload/img-catalog/S16-30250-102.png</t>
  </si>
  <si>
    <t>/upload/img-catalog/S16-30500-102.png</t>
  </si>
  <si>
    <t>/upload/img-catalog/16-35250-000.png</t>
  </si>
  <si>
    <t>/upload/img-catalog/</t>
  </si>
  <si>
    <t>/upload/img-catalog/16-40050-020.png</t>
  </si>
  <si>
    <t>/upload/img-catalog/16-40100-020.png</t>
  </si>
  <si>
    <t>/upload/img-catalog/16-40150-020.png</t>
  </si>
  <si>
    <t>/upload/img-catalog/16-40200-020.png</t>
  </si>
  <si>
    <t>/upload/img-catalog/16-40050-021.png</t>
  </si>
  <si>
    <t>/upload/img-catalog/16-50011-000.png</t>
  </si>
  <si>
    <t>/upload/img-catalog/16-50011-004.png</t>
  </si>
  <si>
    <t>/upload/img-catalog/16-50055-000.png</t>
  </si>
  <si>
    <t>/upload/img-catalog/16-50150-000.png</t>
  </si>
  <si>
    <t>/upload/img-catalog/16-50025-001.png</t>
  </si>
  <si>
    <t>/upload/img-catalog/16-50040-001.png</t>
  </si>
  <si>
    <t>/upload/img-catalog/16-50015-000.png</t>
  </si>
  <si>
    <t>/upload/img-catalog/16-52045-000.png</t>
  </si>
  <si>
    <t>/upload/img-catalog/16-52075-000.png</t>
  </si>
  <si>
    <t>/upload/img-catalog/16-57575-000.png</t>
  </si>
  <si>
    <t>/upload/img-catalog/16-51587-003.png</t>
  </si>
  <si>
    <t>/upload/img-catalog/16-92010-000.png</t>
  </si>
  <si>
    <t>/upload/img-catalog/16-92010-001.png</t>
  </si>
  <si>
    <t>/upload/img-catalog/16-91510-001.png</t>
  </si>
  <si>
    <t>/upload/img-catalog/16-91510-002.png</t>
  </si>
  <si>
    <t>/upload/img-catalog/16-60041-001.png</t>
  </si>
  <si>
    <t>/upload/img-catalog/16-60041-002.png</t>
  </si>
  <si>
    <t>/upload/img-catalog/16-60042-001.png</t>
  </si>
  <si>
    <t>/upload/img-catalog/16-60042-002.png</t>
  </si>
  <si>
    <t>/upload/img-catalog/16-60003-000.png</t>
  </si>
  <si>
    <t>/upload/img-catalog/16-60003-002.png</t>
  </si>
  <si>
    <t>/upload/img-catalog/16-60009-000.png</t>
  </si>
  <si>
    <t>/upload/img-catalog/16-85013-000.png</t>
  </si>
  <si>
    <t>/upload/img-catalog/16-85017-000.png</t>
  </si>
  <si>
    <t>/upload/img-catalog/16-85013-001.png</t>
  </si>
  <si>
    <t>/upload/img-catalog/16-85013-002.png</t>
  </si>
  <si>
    <t>/upload/img-catalog/16-88017-000.png</t>
  </si>
  <si>
    <t>/upload/img-catalog/16-89013-000.png</t>
  </si>
  <si>
    <t>/upload/img-catalog/16-89013-001.png</t>
  </si>
  <si>
    <t>/upload/img-catalog/16-89013-002.png</t>
  </si>
  <si>
    <t>/upload/img-catalog/16-86001-100.png</t>
  </si>
  <si>
    <t>/upload/img-catalog/16-87004-000.png</t>
  </si>
  <si>
    <t>/upload/img-catalog/16-87004-001.png</t>
  </si>
  <si>
    <t>/upload/img-catalog/16-87004-002.png</t>
  </si>
  <si>
    <t>/upload/img-catalog/16-87004-003.png</t>
  </si>
  <si>
    <t>/upload/img-catalog/16-87003-000.png</t>
  </si>
  <si>
    <t>/upload/img-catalog/16-87011-010.png</t>
  </si>
  <si>
    <t>/upload/img-catalog/16-87011-011.png</t>
  </si>
  <si>
    <t>/upload/img-catalog/16-87011-012.png</t>
  </si>
  <si>
    <t>/upload/img-catalog/16-87011-019.png</t>
  </si>
  <si>
    <t>/upload/img-catalog/16-87011-003.png</t>
  </si>
  <si>
    <t>/upload/img-catalog/16-87011-004.png</t>
  </si>
  <si>
    <t>/upload/img-catalog/16-87011-005.png</t>
  </si>
  <si>
    <t>/upload/img-catalog/16-87011-020.png</t>
  </si>
  <si>
    <t>/upload/img-catalog/16-87020-000.png</t>
  </si>
  <si>
    <t>/upload/img-catalog/16-97020-002.png</t>
  </si>
  <si>
    <t>/upload/img-catalog/00-86012-000.png</t>
  </si>
  <si>
    <t>/upload/img-catalog/00-86015-000.png</t>
  </si>
  <si>
    <t>/upload/img-catalog/16-90001-000.png</t>
  </si>
  <si>
    <t>/upload/img-catalog/16-90001-050.png</t>
  </si>
  <si>
    <t>/upload/img-catalog/16-90001-100.png</t>
  </si>
  <si>
    <t>/upload/img-catalog/16-90050-000.png</t>
  </si>
  <si>
    <t>/upload/img-catalog/16-90050-001.png</t>
  </si>
  <si>
    <t>/upload/img-catalog/16-90050-002.png</t>
  </si>
  <si>
    <t>/upload/img-catalog/16-90080-000.png</t>
  </si>
  <si>
    <t>/upload/img-catalog/16-90080-001.png</t>
  </si>
  <si>
    <t>/upload/img-catalog/16-90080-002.png</t>
  </si>
  <si>
    <t>/upload/img-catalog/00-C0001-000.jpg.png</t>
  </si>
  <si>
    <t>/upload/img-catalog/16-C0002-000.png</t>
  </si>
  <si>
    <t>/upload/img-catalog/00-C0004-000.jpg.png</t>
  </si>
  <si>
    <t>/upload/img-catalog/00-C0007-000.jpg.png</t>
  </si>
  <si>
    <t>/upload/img-catalog/16-C0008-008.png</t>
  </si>
  <si>
    <t>/upload/img-catalog/16-C0008-006.png</t>
  </si>
  <si>
    <t>/upload/img-catalog/16-C0008-004.png</t>
  </si>
  <si>
    <t>/upload/img-catalog/00-C0009-000.jpg.png</t>
  </si>
  <si>
    <t>/upload/img-catalog/16-C1002-000.png</t>
  </si>
  <si>
    <t>/upload/img-catalog/16-C5050-000.png</t>
  </si>
  <si>
    <t>    Изображение 1</t>
  </si>
  <si>
    <t>/upload/img-catalog/16-86001-001 (pic1).png</t>
  </si>
  <si>
    <t>/upload/img-catalog/16-86001-002 (pic1).png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</si>
</sst>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_-[$$-409]* #,##0.00_ ;_-[$$-409]* \-#,##0.00\ ;_-[$$-409]* &quot;-&quot;??_ ;_-@_ "/>
    <numFmt numFmtId="166" formatCode="_-[$€-2]\ * #,##0.00_-;\-[$€-2]\ * #,##0.00_-;_-[$€-2]\ * &quot;-&quot;??_-;_-@_-"/>
    <numFmt numFmtId="167" formatCode="#,##0.000"/>
  </numFmts>
  <fonts count="11">
    <font>
      <sz val="12"/>
      <name val="宋体"/>
      <charset val="13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Verdana"/>
      <family val="2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Verdana"/>
      <family val="2"/>
    </font>
    <font>
      <sz val="8"/>
      <name val="Arial"/>
      <family val="2"/>
      <charset val="204"/>
    </font>
    <font>
      <b/>
      <sz val="8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D1F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</cellStyleXfs>
  <cellXfs count="267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center" vertical="top"/>
    </xf>
    <xf numFmtId="0" fontId="1" fillId="2" borderId="1" xfId="2" applyFont="1" applyFill="1" applyBorder="1" applyAlignment="1">
      <alignment horizontal="center" vertical="top" wrapText="1"/>
    </xf>
    <xf numFmtId="0" fontId="1" fillId="2" borderId="1" xfId="2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1" xfId="2" applyFont="1" applyFill="1" applyBorder="1" applyAlignment="1">
      <alignment horizontal="center" vertical="top" wrapText="1"/>
    </xf>
    <xf numFmtId="0" fontId="1" fillId="0" borderId="1" xfId="2" applyFont="1" applyFill="1" applyBorder="1" applyAlignment="1">
      <alignment horizontal="left" vertical="top" wrapText="1"/>
    </xf>
    <xf numFmtId="0" fontId="1" fillId="2" borderId="1" xfId="3" applyFont="1" applyFill="1" applyBorder="1" applyAlignment="1">
      <alignment horizontal="center" vertical="top" wrapText="1"/>
    </xf>
    <xf numFmtId="0" fontId="1" fillId="2" borderId="1" xfId="3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top" wrapText="1"/>
    </xf>
    <xf numFmtId="166" fontId="1" fillId="0" borderId="0" xfId="0" applyNumberFormat="1" applyFont="1" applyAlignment="1">
      <alignment vertical="top"/>
    </xf>
    <xf numFmtId="166" fontId="2" fillId="4" borderId="1" xfId="0" applyNumberFormat="1" applyFont="1" applyFill="1" applyBorder="1" applyAlignment="1">
      <alignment horizontal="center" vertical="center" wrapText="1"/>
    </xf>
    <xf numFmtId="166" fontId="2" fillId="6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4" fontId="2" fillId="3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top" wrapText="1"/>
    </xf>
    <xf numFmtId="4" fontId="1" fillId="2" borderId="1" xfId="2" applyNumberFormat="1" applyFont="1" applyFill="1" applyBorder="1" applyAlignment="1">
      <alignment horizontal="center" vertical="top" wrapText="1"/>
    </xf>
    <xf numFmtId="4" fontId="1" fillId="0" borderId="1" xfId="2" applyNumberFormat="1" applyFont="1" applyFill="1" applyBorder="1" applyAlignment="1">
      <alignment horizontal="center" vertical="top" wrapText="1"/>
    </xf>
    <xf numFmtId="4" fontId="1" fillId="2" borderId="1" xfId="3" applyNumberFormat="1" applyFont="1" applyFill="1" applyBorder="1" applyAlignment="1">
      <alignment horizontal="center" vertical="top" wrapText="1"/>
    </xf>
    <xf numFmtId="4" fontId="1" fillId="0" borderId="0" xfId="0" applyNumberFormat="1" applyFont="1" applyAlignment="1">
      <alignment horizontal="center" vertical="center" wrapText="1"/>
    </xf>
    <xf numFmtId="4" fontId="6" fillId="0" borderId="1" xfId="0" applyNumberFormat="1" applyFont="1" applyFill="1" applyBorder="1" applyAlignment="1">
      <alignment horizontal="center" vertical="top" wrapText="1"/>
    </xf>
    <xf numFmtId="0" fontId="1" fillId="0" borderId="1" xfId="3" applyFont="1" applyFill="1" applyBorder="1" applyAlignment="1">
      <alignment horizontal="left" vertical="top" wrapText="1"/>
    </xf>
    <xf numFmtId="0" fontId="1" fillId="0" borderId="1" xfId="3" applyFont="1" applyFill="1" applyBorder="1" applyAlignment="1">
      <alignment horizontal="center" vertical="top" wrapText="1"/>
    </xf>
    <xf numFmtId="0" fontId="5" fillId="0" borderId="1" xfId="3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65" fontId="1" fillId="0" borderId="1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 wrapText="1"/>
    </xf>
    <xf numFmtId="4" fontId="1" fillId="0" borderId="5" xfId="0" applyNumberFormat="1" applyFont="1" applyFill="1" applyBorder="1" applyAlignment="1">
      <alignment horizontal="center" vertical="top" wrapText="1"/>
    </xf>
    <xf numFmtId="0" fontId="1" fillId="0" borderId="1" xfId="4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0" fontId="1" fillId="0" borderId="1" xfId="1" applyNumberFormat="1" applyFont="1" applyBorder="1" applyAlignment="1">
      <alignment vertical="top"/>
    </xf>
    <xf numFmtId="166" fontId="1" fillId="8" borderId="1" xfId="0" applyNumberFormat="1" applyFont="1" applyFill="1" applyBorder="1" applyAlignment="1">
      <alignment vertical="top"/>
    </xf>
    <xf numFmtId="165" fontId="1" fillId="8" borderId="1" xfId="0" applyNumberFormat="1" applyFont="1" applyFill="1" applyBorder="1" applyAlignment="1">
      <alignment vertical="top"/>
    </xf>
    <xf numFmtId="165" fontId="1" fillId="8" borderId="1" xfId="0" applyNumberFormat="1" applyFont="1" applyFill="1" applyBorder="1" applyAlignment="1">
      <alignment horizontal="center" vertical="top"/>
    </xf>
    <xf numFmtId="10" fontId="1" fillId="8" borderId="1" xfId="1" applyNumberFormat="1" applyFont="1" applyFill="1" applyBorder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10" fontId="1" fillId="7" borderId="1" xfId="1" applyNumberFormat="1" applyFont="1" applyFill="1" applyBorder="1" applyAlignment="1">
      <alignment horizontal="center" vertical="top"/>
    </xf>
    <xf numFmtId="165" fontId="1" fillId="7" borderId="1" xfId="0" applyNumberFormat="1" applyFont="1" applyFill="1" applyBorder="1" applyAlignment="1">
      <alignment horizontal="center" vertical="top"/>
    </xf>
    <xf numFmtId="166" fontId="1" fillId="7" borderId="1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left" vertical="top" wrapText="1"/>
    </xf>
    <xf numFmtId="4" fontId="6" fillId="0" borderId="2" xfId="0" applyNumberFormat="1" applyFont="1" applyFill="1" applyBorder="1" applyAlignment="1">
      <alignment horizontal="center" vertical="top" wrapText="1"/>
    </xf>
    <xf numFmtId="165" fontId="1" fillId="0" borderId="2" xfId="0" applyNumberFormat="1" applyFont="1" applyBorder="1" applyAlignment="1">
      <alignment vertical="top"/>
    </xf>
    <xf numFmtId="10" fontId="1" fillId="0" borderId="2" xfId="1" applyNumberFormat="1" applyFont="1" applyBorder="1" applyAlignment="1">
      <alignment vertical="top"/>
    </xf>
    <xf numFmtId="166" fontId="1" fillId="8" borderId="2" xfId="0" applyNumberFormat="1" applyFont="1" applyFill="1" applyBorder="1" applyAlignment="1">
      <alignment vertical="top"/>
    </xf>
    <xf numFmtId="165" fontId="1" fillId="8" borderId="2" xfId="0" applyNumberFormat="1" applyFont="1" applyFill="1" applyBorder="1" applyAlignment="1">
      <alignment vertical="top"/>
    </xf>
    <xf numFmtId="165" fontId="1" fillId="8" borderId="2" xfId="0" applyNumberFormat="1" applyFont="1" applyFill="1" applyBorder="1" applyAlignment="1">
      <alignment horizontal="center" vertical="top"/>
    </xf>
    <xf numFmtId="166" fontId="1" fillId="7" borderId="2" xfId="0" applyNumberFormat="1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horizontal="center" vertical="center"/>
    </xf>
    <xf numFmtId="10" fontId="1" fillId="7" borderId="2" xfId="1" applyNumberFormat="1" applyFont="1" applyFill="1" applyBorder="1" applyAlignment="1">
      <alignment horizontal="center" vertical="top"/>
    </xf>
    <xf numFmtId="165" fontId="1" fillId="7" borderId="2" xfId="0" applyNumberFormat="1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left" vertical="top" wrapText="1"/>
    </xf>
    <xf numFmtId="4" fontId="6" fillId="0" borderId="4" xfId="0" applyNumberFormat="1" applyFont="1" applyFill="1" applyBorder="1" applyAlignment="1">
      <alignment horizontal="center" vertical="top" wrapText="1"/>
    </xf>
    <xf numFmtId="165" fontId="1" fillId="0" borderId="4" xfId="0" applyNumberFormat="1" applyFont="1" applyBorder="1" applyAlignment="1">
      <alignment vertical="top"/>
    </xf>
    <xf numFmtId="10" fontId="1" fillId="0" borderId="4" xfId="1" applyNumberFormat="1" applyFont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5" fontId="1" fillId="8" borderId="4" xfId="0" applyNumberFormat="1" applyFont="1" applyFill="1" applyBorder="1" applyAlignment="1">
      <alignment vertical="top"/>
    </xf>
    <xf numFmtId="10" fontId="1" fillId="8" borderId="4" xfId="1" applyNumberFormat="1" applyFont="1" applyFill="1" applyBorder="1" applyAlignment="1">
      <alignment horizontal="center" vertical="top"/>
    </xf>
    <xf numFmtId="165" fontId="1" fillId="8" borderId="4" xfId="0" applyNumberFormat="1" applyFont="1" applyFill="1" applyBorder="1" applyAlignment="1">
      <alignment horizontal="center" vertical="top"/>
    </xf>
    <xf numFmtId="166" fontId="1" fillId="7" borderId="4" xfId="0" applyNumberFormat="1" applyFont="1" applyFill="1" applyBorder="1" applyAlignment="1">
      <alignment horizontal="center" vertical="top"/>
    </xf>
    <xf numFmtId="165" fontId="1" fillId="7" borderId="4" xfId="0" applyNumberFormat="1" applyFont="1" applyFill="1" applyBorder="1" applyAlignment="1">
      <alignment horizontal="center" vertical="top"/>
    </xf>
    <xf numFmtId="10" fontId="1" fillId="7" borderId="4" xfId="1" applyNumberFormat="1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4" fontId="1" fillId="0" borderId="6" xfId="0" applyNumberFormat="1" applyFont="1" applyFill="1" applyBorder="1" applyAlignment="1">
      <alignment horizontal="center" vertical="top" wrapText="1"/>
    </xf>
    <xf numFmtId="4" fontId="6" fillId="0" borderId="6" xfId="0" applyNumberFormat="1" applyFont="1" applyFill="1" applyBorder="1" applyAlignment="1">
      <alignment horizontal="center" vertical="top" wrapText="1"/>
    </xf>
    <xf numFmtId="165" fontId="1" fillId="0" borderId="6" xfId="0" applyNumberFormat="1" applyFont="1" applyBorder="1" applyAlignment="1">
      <alignment vertical="top"/>
    </xf>
    <xf numFmtId="10" fontId="1" fillId="0" borderId="6" xfId="1" applyNumberFormat="1" applyFont="1" applyBorder="1" applyAlignment="1">
      <alignment vertical="top"/>
    </xf>
    <xf numFmtId="166" fontId="1" fillId="8" borderId="6" xfId="0" applyNumberFormat="1" applyFont="1" applyFill="1" applyBorder="1" applyAlignment="1">
      <alignment vertical="top"/>
    </xf>
    <xf numFmtId="165" fontId="1" fillId="8" borderId="6" xfId="0" applyNumberFormat="1" applyFont="1" applyFill="1" applyBorder="1" applyAlignment="1">
      <alignment vertical="top"/>
    </xf>
    <xf numFmtId="10" fontId="1" fillId="8" borderId="6" xfId="1" applyNumberFormat="1" applyFont="1" applyFill="1" applyBorder="1" applyAlignment="1">
      <alignment horizontal="center" vertical="top"/>
    </xf>
    <xf numFmtId="165" fontId="1" fillId="8" borderId="6" xfId="0" applyNumberFormat="1" applyFont="1" applyFill="1" applyBorder="1" applyAlignment="1">
      <alignment horizontal="center" vertical="top"/>
    </xf>
    <xf numFmtId="166" fontId="1" fillId="7" borderId="6" xfId="0" applyNumberFormat="1" applyFont="1" applyFill="1" applyBorder="1" applyAlignment="1">
      <alignment horizontal="center" vertical="top"/>
    </xf>
    <xf numFmtId="165" fontId="1" fillId="7" borderId="6" xfId="0" applyNumberFormat="1" applyFont="1" applyFill="1" applyBorder="1" applyAlignment="1">
      <alignment horizontal="center" vertical="top"/>
    </xf>
    <xf numFmtId="10" fontId="1" fillId="7" borderId="6" xfId="1" applyNumberFormat="1" applyFont="1" applyFill="1" applyBorder="1" applyAlignment="1">
      <alignment horizontal="center" vertical="top"/>
    </xf>
    <xf numFmtId="0" fontId="1" fillId="0" borderId="7" xfId="0" applyFont="1" applyFill="1" applyBorder="1" applyAlignment="1">
      <alignment horizontal="center" vertical="top"/>
    </xf>
    <xf numFmtId="0" fontId="1" fillId="0" borderId="7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4" fontId="1" fillId="0" borderId="7" xfId="0" applyNumberFormat="1" applyFont="1" applyFill="1" applyBorder="1" applyAlignment="1">
      <alignment horizontal="center" vertical="top" wrapText="1"/>
    </xf>
    <xf numFmtId="4" fontId="6" fillId="0" borderId="7" xfId="0" applyNumberFormat="1" applyFont="1" applyFill="1" applyBorder="1" applyAlignment="1">
      <alignment horizontal="center" vertical="top" wrapText="1"/>
    </xf>
    <xf numFmtId="165" fontId="1" fillId="0" borderId="7" xfId="0" applyNumberFormat="1" applyFont="1" applyBorder="1" applyAlignment="1">
      <alignment vertical="top"/>
    </xf>
    <xf numFmtId="10" fontId="1" fillId="0" borderId="7" xfId="1" applyNumberFormat="1" applyFont="1" applyBorder="1" applyAlignment="1">
      <alignment vertical="top"/>
    </xf>
    <xf numFmtId="166" fontId="1" fillId="8" borderId="7" xfId="0" applyNumberFormat="1" applyFont="1" applyFill="1" applyBorder="1" applyAlignment="1">
      <alignment vertical="top"/>
    </xf>
    <xf numFmtId="165" fontId="1" fillId="8" borderId="7" xfId="0" applyNumberFormat="1" applyFont="1" applyFill="1" applyBorder="1" applyAlignment="1">
      <alignment vertical="top"/>
    </xf>
    <xf numFmtId="10" fontId="1" fillId="8" borderId="7" xfId="1" applyNumberFormat="1" applyFont="1" applyFill="1" applyBorder="1" applyAlignment="1">
      <alignment horizontal="center" vertical="top"/>
    </xf>
    <xf numFmtId="165" fontId="1" fillId="8" borderId="7" xfId="0" applyNumberFormat="1" applyFont="1" applyFill="1" applyBorder="1" applyAlignment="1">
      <alignment horizontal="center" vertical="top"/>
    </xf>
    <xf numFmtId="166" fontId="1" fillId="7" borderId="7" xfId="0" applyNumberFormat="1" applyFont="1" applyFill="1" applyBorder="1" applyAlignment="1">
      <alignment horizontal="center" vertical="top"/>
    </xf>
    <xf numFmtId="165" fontId="1" fillId="7" borderId="7" xfId="0" applyNumberFormat="1" applyFont="1" applyFill="1" applyBorder="1" applyAlignment="1">
      <alignment horizontal="center" vertical="top"/>
    </xf>
    <xf numFmtId="10" fontId="1" fillId="7" borderId="7" xfId="1" applyNumberFormat="1" applyFont="1" applyFill="1" applyBorder="1" applyAlignment="1">
      <alignment horizontal="center" vertical="top"/>
    </xf>
    <xf numFmtId="166" fontId="1" fillId="7" borderId="6" xfId="0" applyNumberFormat="1" applyFont="1" applyFill="1" applyBorder="1" applyAlignment="1">
      <alignment horizontal="center" vertical="center"/>
    </xf>
    <xf numFmtId="165" fontId="1" fillId="7" borderId="6" xfId="0" applyNumberFormat="1" applyFont="1" applyFill="1" applyBorder="1" applyAlignment="1">
      <alignment horizontal="center" vertical="center"/>
    </xf>
    <xf numFmtId="166" fontId="1" fillId="7" borderId="7" xfId="0" applyNumberFormat="1" applyFont="1" applyFill="1" applyBorder="1" applyAlignment="1">
      <alignment horizontal="center" vertical="center"/>
    </xf>
    <xf numFmtId="165" fontId="1" fillId="7" borderId="7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4" fontId="1" fillId="0" borderId="7" xfId="0" applyNumberFormat="1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10" fontId="1" fillId="8" borderId="2" xfId="1" applyNumberFormat="1" applyFont="1" applyFill="1" applyBorder="1" applyAlignment="1">
      <alignment horizontal="center" vertical="top"/>
    </xf>
    <xf numFmtId="166" fontId="1" fillId="7" borderId="2" xfId="0" applyNumberFormat="1" applyFont="1" applyFill="1" applyBorder="1" applyAlignment="1">
      <alignment horizontal="center" vertical="top"/>
    </xf>
    <xf numFmtId="14" fontId="1" fillId="0" borderId="7" xfId="2" applyNumberFormat="1" applyFont="1" applyFill="1" applyBorder="1" applyAlignment="1">
      <alignment horizontal="center" vertical="top" wrapText="1"/>
    </xf>
    <xf numFmtId="0" fontId="1" fillId="0" borderId="7" xfId="2" applyFont="1" applyFill="1" applyBorder="1" applyAlignment="1">
      <alignment horizontal="center" vertical="top" wrapText="1"/>
    </xf>
    <xf numFmtId="0" fontId="1" fillId="2" borderId="7" xfId="2" applyFont="1" applyFill="1" applyBorder="1" applyAlignment="1">
      <alignment horizontal="center" vertical="top" wrapText="1"/>
    </xf>
    <xf numFmtId="4" fontId="1" fillId="2" borderId="4" xfId="2" applyNumberFormat="1" applyFont="1" applyFill="1" applyBorder="1" applyAlignment="1">
      <alignment horizontal="center" vertical="top" wrapText="1"/>
    </xf>
    <xf numFmtId="4" fontId="1" fillId="2" borderId="7" xfId="2" applyNumberFormat="1" applyFont="1" applyFill="1" applyBorder="1" applyAlignment="1">
      <alignment horizontal="center" vertical="top" wrapText="1"/>
    </xf>
    <xf numFmtId="0" fontId="1" fillId="0" borderId="6" xfId="3" applyFont="1" applyFill="1" applyBorder="1" applyAlignment="1">
      <alignment horizontal="center" vertical="top" wrapText="1"/>
    </xf>
    <xf numFmtId="0" fontId="1" fillId="0" borderId="6" xfId="2" applyFont="1" applyFill="1" applyBorder="1" applyAlignment="1">
      <alignment horizontal="left" vertical="top" wrapText="1"/>
    </xf>
    <xf numFmtId="0" fontId="1" fillId="0" borderId="6" xfId="2" applyFont="1" applyFill="1" applyBorder="1" applyAlignment="1">
      <alignment horizontal="center" vertical="top" wrapText="1"/>
    </xf>
    <xf numFmtId="0" fontId="1" fillId="0" borderId="7" xfId="0" applyFont="1" applyBorder="1" applyAlignment="1">
      <alignment vertical="top" wrapText="1"/>
    </xf>
    <xf numFmtId="166" fontId="1" fillId="7" borderId="7" xfId="0" applyNumberFormat="1" applyFont="1" applyFill="1" applyBorder="1" applyAlignment="1">
      <alignment horizontal="center" vertical="top" wrapText="1"/>
    </xf>
    <xf numFmtId="165" fontId="1" fillId="0" borderId="6" xfId="0" applyNumberFormat="1" applyFont="1" applyFill="1" applyBorder="1" applyAlignment="1">
      <alignment vertical="top"/>
    </xf>
    <xf numFmtId="10" fontId="1" fillId="0" borderId="6" xfId="1" applyNumberFormat="1" applyFont="1" applyFill="1" applyBorder="1" applyAlignment="1">
      <alignment vertical="top"/>
    </xf>
    <xf numFmtId="166" fontId="1" fillId="0" borderId="6" xfId="0" applyNumberFormat="1" applyFont="1" applyFill="1" applyBorder="1" applyAlignment="1">
      <alignment vertical="top"/>
    </xf>
    <xf numFmtId="10" fontId="1" fillId="0" borderId="6" xfId="1" applyNumberFormat="1" applyFont="1" applyFill="1" applyBorder="1" applyAlignment="1">
      <alignment horizontal="center" vertical="top"/>
    </xf>
    <xf numFmtId="165" fontId="1" fillId="0" borderId="6" xfId="0" applyNumberFormat="1" applyFont="1" applyFill="1" applyBorder="1" applyAlignment="1">
      <alignment horizontal="center" vertical="top"/>
    </xf>
    <xf numFmtId="166" fontId="1" fillId="0" borderId="6" xfId="0" applyNumberFormat="1" applyFont="1" applyFill="1" applyBorder="1" applyAlignment="1">
      <alignment horizontal="center" vertical="top"/>
    </xf>
    <xf numFmtId="165" fontId="1" fillId="0" borderId="7" xfId="0" applyNumberFormat="1" applyFont="1" applyFill="1" applyBorder="1" applyAlignment="1">
      <alignment vertical="top"/>
    </xf>
    <xf numFmtId="10" fontId="1" fillId="0" borderId="7" xfId="1" applyNumberFormat="1" applyFont="1" applyFill="1" applyBorder="1" applyAlignment="1">
      <alignment vertical="top"/>
    </xf>
    <xf numFmtId="166" fontId="1" fillId="0" borderId="7" xfId="0" applyNumberFormat="1" applyFont="1" applyFill="1" applyBorder="1" applyAlignment="1">
      <alignment vertical="top"/>
    </xf>
    <xf numFmtId="10" fontId="1" fillId="0" borderId="7" xfId="1" applyNumberFormat="1" applyFont="1" applyFill="1" applyBorder="1" applyAlignment="1">
      <alignment horizontal="center" vertical="top"/>
    </xf>
    <xf numFmtId="165" fontId="1" fillId="0" borderId="7" xfId="0" applyNumberFormat="1" applyFont="1" applyFill="1" applyBorder="1" applyAlignment="1">
      <alignment horizontal="center" vertical="top"/>
    </xf>
    <xf numFmtId="166" fontId="1" fillId="0" borderId="7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/>
    </xf>
    <xf numFmtId="10" fontId="1" fillId="7" borderId="11" xfId="1" applyNumberFormat="1" applyFont="1" applyFill="1" applyBorder="1" applyAlignment="1">
      <alignment horizontal="center" vertical="top"/>
    </xf>
    <xf numFmtId="10" fontId="1" fillId="7" borderId="10" xfId="1" applyNumberFormat="1" applyFont="1" applyFill="1" applyBorder="1" applyAlignment="1">
      <alignment horizontal="center" vertical="top"/>
    </xf>
    <xf numFmtId="10" fontId="1" fillId="7" borderId="12" xfId="1" applyNumberFormat="1" applyFont="1" applyFill="1" applyBorder="1" applyAlignment="1">
      <alignment horizontal="center" vertical="top"/>
    </xf>
    <xf numFmtId="10" fontId="1" fillId="7" borderId="13" xfId="1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10" fontId="1" fillId="0" borderId="11" xfId="1" applyNumberFormat="1" applyFont="1" applyFill="1" applyBorder="1" applyAlignment="1">
      <alignment horizontal="center" vertical="top"/>
    </xf>
    <xf numFmtId="10" fontId="1" fillId="0" borderId="12" xfId="1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4" fontId="1" fillId="0" borderId="1" xfId="0" applyNumberFormat="1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center" wrapText="1"/>
    </xf>
    <xf numFmtId="14" fontId="1" fillId="0" borderId="1" xfId="0" applyNumberFormat="1" applyFont="1" applyFill="1" applyBorder="1" applyAlignment="1">
      <alignment horizontal="left" vertical="top" wrapText="1"/>
    </xf>
    <xf numFmtId="14" fontId="1" fillId="0" borderId="7" xfId="2" applyNumberFormat="1" applyFont="1" applyFill="1" applyBorder="1" applyAlignment="1">
      <alignment horizontal="left" vertical="top" wrapText="1"/>
    </xf>
    <xf numFmtId="0" fontId="1" fillId="0" borderId="7" xfId="2" applyFont="1" applyFill="1" applyBorder="1" applyAlignment="1">
      <alignment horizontal="left" vertical="top" wrapText="1"/>
    </xf>
    <xf numFmtId="0" fontId="1" fillId="0" borderId="6" xfId="3" applyFont="1" applyFill="1" applyBorder="1" applyAlignment="1">
      <alignment horizontal="left" vertical="top" wrapText="1"/>
    </xf>
    <xf numFmtId="0" fontId="1" fillId="0" borderId="1" xfId="4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4" fontId="1" fillId="0" borderId="14" xfId="0" applyNumberFormat="1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4" borderId="1" xfId="2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7" xfId="0" applyFont="1" applyFill="1" applyBorder="1" applyAlignment="1">
      <alignment horizontal="center" vertical="top" wrapText="1"/>
    </xf>
    <xf numFmtId="0" fontId="1" fillId="0" borderId="18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15" xfId="0" applyFont="1" applyFill="1" applyBorder="1" applyAlignment="1">
      <alignment horizontal="center" vertical="top" wrapText="1"/>
    </xf>
    <xf numFmtId="0" fontId="1" fillId="0" borderId="18" xfId="0" applyFont="1" applyFill="1" applyBorder="1" applyAlignment="1">
      <alignment vertical="top"/>
    </xf>
    <xf numFmtId="0" fontId="1" fillId="0" borderId="18" xfId="0" applyFont="1" applyFill="1" applyBorder="1" applyAlignment="1">
      <alignment vertical="top" wrapText="1"/>
    </xf>
    <xf numFmtId="0" fontId="2" fillId="0" borderId="18" xfId="0" applyFont="1" applyFill="1" applyBorder="1" applyAlignment="1">
      <alignment vertical="top"/>
    </xf>
    <xf numFmtId="0" fontId="1" fillId="0" borderId="18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2" fillId="0" borderId="17" xfId="0" applyFont="1" applyFill="1" applyBorder="1" applyAlignment="1">
      <alignment vertical="top"/>
    </xf>
    <xf numFmtId="0" fontId="1" fillId="2" borderId="18" xfId="2" applyFont="1" applyFill="1" applyBorder="1" applyAlignment="1">
      <alignment vertical="top" wrapText="1"/>
    </xf>
    <xf numFmtId="0" fontId="1" fillId="2" borderId="8" xfId="2" applyFont="1" applyFill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19" xfId="0" applyFont="1" applyFill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1" fillId="0" borderId="1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2" fillId="0" borderId="18" xfId="0" applyFont="1" applyFill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1" fillId="0" borderId="8" xfId="0" applyFont="1" applyBorder="1" applyAlignment="1">
      <alignment vertical="top"/>
    </xf>
    <xf numFmtId="0" fontId="1" fillId="9" borderId="1" xfId="0" applyFont="1" applyFill="1" applyBorder="1" applyAlignment="1">
      <alignment horizontal="left" vertical="top" wrapText="1"/>
    </xf>
    <xf numFmtId="0" fontId="1" fillId="9" borderId="1" xfId="2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1" fillId="10" borderId="2" xfId="0" applyFont="1" applyFill="1" applyBorder="1" applyAlignment="1">
      <alignment horizontal="center" vertical="top" wrapText="1"/>
    </xf>
    <xf numFmtId="0" fontId="6" fillId="10" borderId="2" xfId="0" applyFont="1" applyFill="1" applyBorder="1" applyAlignment="1">
      <alignment horizontal="center" vertical="top" wrapText="1"/>
    </xf>
    <xf numFmtId="0" fontId="1" fillId="10" borderId="6" xfId="0" applyFont="1" applyFill="1" applyBorder="1" applyAlignment="1">
      <alignment horizontal="center" vertical="top" wrapText="1"/>
    </xf>
    <xf numFmtId="0" fontId="6" fillId="10" borderId="6" xfId="0" applyFont="1" applyFill="1" applyBorder="1" applyAlignment="1">
      <alignment horizontal="center" vertical="top" wrapText="1"/>
    </xf>
    <xf numFmtId="0" fontId="1" fillId="10" borderId="7" xfId="0" applyFont="1" applyFill="1" applyBorder="1" applyAlignment="1">
      <alignment horizontal="center" vertical="top" wrapText="1"/>
    </xf>
    <xf numFmtId="0" fontId="6" fillId="10" borderId="7" xfId="0" applyFont="1" applyFill="1" applyBorder="1" applyAlignment="1">
      <alignment horizontal="center" vertical="top" wrapText="1"/>
    </xf>
    <xf numFmtId="0" fontId="1" fillId="10" borderId="4" xfId="0" applyFont="1" applyFill="1" applyBorder="1" applyAlignment="1">
      <alignment horizontal="center" vertical="top" wrapText="1"/>
    </xf>
    <xf numFmtId="0" fontId="1" fillId="10" borderId="6" xfId="2" applyFont="1" applyFill="1" applyBorder="1" applyAlignment="1">
      <alignment horizontal="center" vertical="top" wrapText="1"/>
    </xf>
    <xf numFmtId="164" fontId="1" fillId="10" borderId="1" xfId="0" applyNumberFormat="1" applyFont="1" applyFill="1" applyBorder="1" applyAlignment="1">
      <alignment horizontal="center" vertical="top" wrapText="1"/>
    </xf>
    <xf numFmtId="0" fontId="1" fillId="10" borderId="1" xfId="2" applyFont="1" applyFill="1" applyBorder="1" applyAlignment="1">
      <alignment horizontal="center" vertical="top" wrapText="1"/>
    </xf>
    <xf numFmtId="14" fontId="1" fillId="10" borderId="7" xfId="2" applyNumberFormat="1" applyFont="1" applyFill="1" applyBorder="1" applyAlignment="1">
      <alignment horizontal="center" vertical="top" wrapText="1"/>
    </xf>
    <xf numFmtId="0" fontId="1" fillId="10" borderId="7" xfId="2" applyFont="1" applyFill="1" applyBorder="1" applyAlignment="1">
      <alignment horizontal="center" vertical="top" wrapText="1"/>
    </xf>
    <xf numFmtId="0" fontId="1" fillId="10" borderId="5" xfId="2" applyFont="1" applyFill="1" applyBorder="1" applyAlignment="1">
      <alignment horizontal="center" vertical="top" wrapText="1"/>
    </xf>
    <xf numFmtId="0" fontId="1" fillId="10" borderId="8" xfId="2" applyFont="1" applyFill="1" applyBorder="1" applyAlignment="1">
      <alignment horizontal="center" vertical="top" wrapText="1"/>
    </xf>
    <xf numFmtId="0" fontId="1" fillId="10" borderId="9" xfId="0" applyFont="1" applyFill="1" applyBorder="1" applyAlignment="1">
      <alignment horizontal="center" vertical="top" wrapText="1"/>
    </xf>
    <xf numFmtId="0" fontId="1" fillId="10" borderId="5" xfId="0" applyFont="1" applyFill="1" applyBorder="1" applyAlignment="1">
      <alignment horizontal="center" vertical="top" wrapText="1"/>
    </xf>
    <xf numFmtId="0" fontId="1" fillId="10" borderId="6" xfId="3" applyFont="1" applyFill="1" applyBorder="1" applyAlignment="1">
      <alignment horizontal="center" vertical="top" wrapText="1"/>
    </xf>
    <xf numFmtId="0" fontId="1" fillId="10" borderId="1" xfId="3" applyFont="1" applyFill="1" applyBorder="1" applyAlignment="1">
      <alignment horizontal="center" vertical="top" wrapText="1"/>
    </xf>
    <xf numFmtId="0" fontId="1" fillId="10" borderId="1" xfId="4" applyFont="1" applyFill="1" applyBorder="1" applyAlignment="1">
      <alignment horizontal="center" vertical="top" wrapText="1"/>
    </xf>
    <xf numFmtId="49" fontId="1" fillId="10" borderId="1" xfId="3" applyNumberFormat="1" applyFont="1" applyFill="1" applyBorder="1" applyAlignment="1">
      <alignment horizontal="center" vertical="top" wrapText="1"/>
    </xf>
    <xf numFmtId="0" fontId="1" fillId="10" borderId="0" xfId="0" applyFont="1" applyFill="1" applyAlignment="1">
      <alignment vertical="center" wrapText="1"/>
    </xf>
    <xf numFmtId="0" fontId="1" fillId="10" borderId="14" xfId="0" applyFont="1" applyFill="1" applyBorder="1" applyAlignment="1">
      <alignment horizontal="center" vertical="top" wrapText="1"/>
    </xf>
    <xf numFmtId="4" fontId="1" fillId="10" borderId="4" xfId="2" applyNumberFormat="1" applyFont="1" applyFill="1" applyBorder="1" applyAlignment="1">
      <alignment horizontal="center" vertical="top" wrapText="1"/>
    </xf>
    <xf numFmtId="4" fontId="1" fillId="10" borderId="1" xfId="2" applyNumberFormat="1" applyFont="1" applyFill="1" applyBorder="1" applyAlignment="1">
      <alignment horizontal="center" vertical="top" wrapText="1"/>
    </xf>
    <xf numFmtId="4" fontId="1" fillId="10" borderId="7" xfId="2" applyNumberFormat="1" applyFont="1" applyFill="1" applyBorder="1" applyAlignment="1">
      <alignment horizontal="center" vertical="top" wrapText="1"/>
    </xf>
    <xf numFmtId="4" fontId="1" fillId="10" borderId="6" xfId="3" applyNumberFormat="1" applyFont="1" applyFill="1" applyBorder="1" applyAlignment="1">
      <alignment horizontal="center" vertical="top" wrapText="1"/>
    </xf>
    <xf numFmtId="4" fontId="1" fillId="10" borderId="1" xfId="3" applyNumberFormat="1" applyFont="1" applyFill="1" applyBorder="1" applyAlignment="1">
      <alignment horizontal="center" vertical="top" wrapText="1"/>
    </xf>
    <xf numFmtId="4" fontId="1" fillId="10" borderId="1" xfId="0" applyNumberFormat="1" applyFont="1" applyFill="1" applyBorder="1" applyAlignment="1">
      <alignment horizontal="center" vertical="top" wrapText="1"/>
    </xf>
    <xf numFmtId="4" fontId="1" fillId="10" borderId="7" xfId="0" applyNumberFormat="1" applyFont="1" applyFill="1" applyBorder="1" applyAlignment="1">
      <alignment horizontal="center" vertical="top" wrapText="1"/>
    </xf>
    <xf numFmtId="0" fontId="1" fillId="1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4" fontId="1" fillId="10" borderId="14" xfId="0" applyNumberFormat="1" applyFont="1" applyFill="1" applyBorder="1" applyAlignment="1">
      <alignment horizontal="center" vertical="top" wrapText="1"/>
    </xf>
    <xf numFmtId="4" fontId="6" fillId="10" borderId="1" xfId="0" applyNumberFormat="1" applyFont="1" applyFill="1" applyBorder="1" applyAlignment="1">
      <alignment horizontal="center" vertical="top" wrapText="1"/>
    </xf>
    <xf numFmtId="4" fontId="6" fillId="10" borderId="2" xfId="0" applyNumberFormat="1" applyFont="1" applyFill="1" applyBorder="1" applyAlignment="1">
      <alignment horizontal="center" vertical="top" wrapText="1"/>
    </xf>
    <xf numFmtId="4" fontId="6" fillId="10" borderId="7" xfId="0" applyNumberFormat="1" applyFont="1" applyFill="1" applyBorder="1" applyAlignment="1">
      <alignment horizontal="center" vertical="top" wrapText="1"/>
    </xf>
    <xf numFmtId="4" fontId="1" fillId="10" borderId="2" xfId="0" applyNumberFormat="1" applyFont="1" applyFill="1" applyBorder="1" applyAlignment="1">
      <alignment horizontal="center" vertical="top" wrapText="1"/>
    </xf>
    <xf numFmtId="4" fontId="1" fillId="10" borderId="4" xfId="0" applyNumberFormat="1" applyFont="1" applyFill="1" applyBorder="1" applyAlignment="1">
      <alignment horizontal="center" vertical="top" wrapText="1"/>
    </xf>
    <xf numFmtId="4" fontId="1" fillId="10" borderId="5" xfId="0" applyNumberFormat="1" applyFont="1" applyFill="1" applyBorder="1" applyAlignment="1">
      <alignment horizontal="center" vertical="top" wrapText="1"/>
    </xf>
    <xf numFmtId="4" fontId="1" fillId="10" borderId="6" xfId="0" applyNumberFormat="1" applyFont="1" applyFill="1" applyBorder="1" applyAlignment="1">
      <alignment horizontal="center" vertical="top" wrapText="1"/>
    </xf>
    <xf numFmtId="4" fontId="1" fillId="10" borderId="0" xfId="0" applyNumberFormat="1" applyFont="1" applyFill="1" applyAlignment="1">
      <alignment horizontal="center" vertical="center" wrapText="1"/>
    </xf>
    <xf numFmtId="167" fontId="1" fillId="10" borderId="1" xfId="0" applyNumberFormat="1" applyFont="1" applyFill="1" applyBorder="1" applyAlignment="1">
      <alignment horizontal="center" vertical="top" wrapText="1"/>
    </xf>
    <xf numFmtId="167" fontId="1" fillId="10" borderId="5" xfId="0" applyNumberFormat="1" applyFont="1" applyFill="1" applyBorder="1" applyAlignment="1">
      <alignment horizontal="center" vertical="top" wrapText="1"/>
    </xf>
    <xf numFmtId="0" fontId="5" fillId="10" borderId="1" xfId="3" applyFont="1" applyFill="1" applyBorder="1" applyAlignment="1">
      <alignment horizontal="center" vertical="top" wrapText="1"/>
    </xf>
    <xf numFmtId="0" fontId="10" fillId="0" borderId="0" xfId="0" applyFont="1">
      <alignment vertical="center"/>
    </xf>
  </cellXfs>
  <cellStyles count="8">
    <cellStyle name="Standard 2" xfId="2" xr:uid="{00000000-0005-0000-0000-000000000000}"/>
    <cellStyle name="Standard 2 2" xfId="3" xr:uid="{00000000-0005-0000-0000-000001000000}"/>
    <cellStyle name="Standard 2 2 2" xfId="6" xr:uid="{00000000-0005-0000-0000-000002000000}"/>
    <cellStyle name="Standard 2 3" xfId="5" xr:uid="{00000000-0005-0000-0000-000003000000}"/>
    <cellStyle name="Standard 2 4" xfId="4" xr:uid="{00000000-0005-0000-0000-000004000000}"/>
    <cellStyle name="Standard 2 4 2" xfId="7" xr:uid="{00000000-0005-0000-0000-000005000000}"/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DDF0C8"/>
      <color rgb="FFFFE1E1"/>
      <color rgb="FFFFD5D5"/>
      <color rgb="FFD1F3FF"/>
      <color rgb="FFC1EFFF"/>
      <color rgb="FFFFF3F3"/>
      <color rgb="FFFFCDC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9"/>
  <sheetViews>
    <sheetView tabSelected="1" zoomScale="85" zoomScaleNormal="85" workbookViewId="0">
      <pane ySplit="1" topLeftCell="A2" activePane="bottomLeft" state="frozen"/>
      <selection pane="bottomLeft" activeCell="B2" sqref="B2"/>
    </sheetView>
  </sheetViews>
  <sheetFormatPr defaultColWidth="8.625" defaultRowHeight="24.95" customHeight="1"/>
  <cols>
    <col min="1" max="2" width="21.125" style="4" customWidth="1"/>
    <col min="3" max="3" width="13.5" style="3" customWidth="1"/>
    <col min="4" max="5" width="20.375" style="169" customWidth="1"/>
    <col min="6" max="7" width="54.25" style="5" customWidth="1"/>
    <col min="8" max="8" width="12.625" style="20" customWidth="1"/>
    <col min="9" max="9" width="13.875" style="20" customWidth="1"/>
    <col min="10" max="10" width="10" style="252" customWidth="1"/>
    <col min="11" max="12" width="10" style="251" customWidth="1"/>
    <col min="13" max="13" width="9.25" style="20" customWidth="1"/>
    <col min="14" max="14" width="14.25" style="20" customWidth="1"/>
    <col min="15" max="15" width="9" style="262" customWidth="1"/>
    <col min="16" max="16" width="23.375" style="33" hidden="1" customWidth="1"/>
    <col min="17" max="17" width="13.5" style="33" hidden="1" customWidth="1"/>
    <col min="18" max="18" width="16.5" style="262" customWidth="1"/>
    <col min="19" max="19" width="14.25" style="251" customWidth="1"/>
    <col min="20" max="20" width="10.25" style="1" hidden="1" customWidth="1"/>
    <col min="21" max="21" width="8.625" style="1" hidden="1" customWidth="1"/>
    <col min="22" max="22" width="10.25" style="22" hidden="1" customWidth="1"/>
    <col min="23" max="23" width="10.25" style="19" hidden="1" customWidth="1"/>
    <col min="24" max="24" width="8.625" style="56" hidden="1" customWidth="1"/>
    <col min="25" max="25" width="10" style="56" hidden="1" customWidth="1"/>
    <col min="26" max="26" width="8.625" style="56" hidden="1" customWidth="1"/>
    <col min="27" max="27" width="10.25" style="57" hidden="1" customWidth="1"/>
    <col min="28" max="28" width="11.125" style="58" hidden="1" customWidth="1"/>
    <col min="29" max="29" width="12.875" style="59" hidden="1" customWidth="1"/>
    <col min="30" max="30" width="9.75" style="59" hidden="1" customWidth="1"/>
    <col min="31" max="31" width="11" style="59" hidden="1" customWidth="1"/>
    <col min="32" max="32" width="32.625" style="152" hidden="1" customWidth="1"/>
    <col min="33" max="33" width="54.25" style="5" hidden="1" customWidth="1"/>
    <col min="34" max="34" width="13.75" style="242" customWidth="1"/>
    <col min="35" max="35" width="14" style="242" customWidth="1"/>
    <col min="36" max="36" width="13.5" style="4" customWidth="1"/>
    <col min="37" max="37" width="8" style="4" customWidth="1"/>
    <col min="38" max="16384" width="8.625" style="4"/>
  </cols>
  <sheetData>
    <row r="1" spans="1:36" s="20" customFormat="1" ht="127.5">
      <c r="A1" s="266" t="s">
        <v>1023</v>
      </c>
      <c r="B1" s="17" t="s">
        <v>896</v>
      </c>
      <c r="C1" s="17" t="s">
        <v>893</v>
      </c>
      <c r="D1" s="17" t="s">
        <v>728</v>
      </c>
      <c r="E1" s="17" t="s">
        <v>729</v>
      </c>
      <c r="F1" s="17" t="s">
        <v>894</v>
      </c>
      <c r="G1" s="17" t="s">
        <v>895</v>
      </c>
      <c r="H1" s="17" t="s">
        <v>752</v>
      </c>
      <c r="I1" s="17" t="s">
        <v>204</v>
      </c>
      <c r="J1" s="17" t="s">
        <v>754</v>
      </c>
      <c r="K1" s="219" t="s">
        <v>823</v>
      </c>
      <c r="L1" s="219" t="s">
        <v>756</v>
      </c>
      <c r="M1" s="17" t="s">
        <v>755</v>
      </c>
      <c r="N1" s="17" t="s">
        <v>205</v>
      </c>
      <c r="O1" s="253" t="s">
        <v>758</v>
      </c>
      <c r="P1" s="28" t="s">
        <v>482</v>
      </c>
      <c r="Q1" s="28" t="s">
        <v>522</v>
      </c>
      <c r="R1" s="253" t="s">
        <v>885</v>
      </c>
      <c r="S1" s="219" t="s">
        <v>750</v>
      </c>
      <c r="T1" s="17" t="s">
        <v>206</v>
      </c>
      <c r="U1" s="17" t="s">
        <v>209</v>
      </c>
      <c r="V1" s="24" t="s">
        <v>207</v>
      </c>
      <c r="W1" s="25" t="s">
        <v>208</v>
      </c>
      <c r="X1" s="25" t="s">
        <v>528</v>
      </c>
      <c r="Y1" s="25" t="s">
        <v>529</v>
      </c>
      <c r="Z1" s="25" t="s">
        <v>530</v>
      </c>
      <c r="AA1" s="23" t="s">
        <v>338</v>
      </c>
      <c r="AB1" s="26" t="s">
        <v>340</v>
      </c>
      <c r="AC1" s="26" t="s">
        <v>528</v>
      </c>
      <c r="AD1" s="26" t="s">
        <v>529</v>
      </c>
      <c r="AE1" s="26" t="s">
        <v>530</v>
      </c>
      <c r="AF1" s="161" t="s">
        <v>535</v>
      </c>
      <c r="AG1" s="162" t="s">
        <v>677</v>
      </c>
      <c r="AH1" s="219" t="s">
        <v>890</v>
      </c>
      <c r="AI1" s="219" t="s">
        <v>891</v>
      </c>
    </row>
    <row r="2" spans="1:36" s="2" customFormat="1" ht="28.5" customHeight="1">
      <c r="A2" s="266" t="s">
        <v>904</v>
      </c>
      <c r="B2" s="179"/>
      <c r="C2" s="6" t="s">
        <v>0</v>
      </c>
      <c r="D2" s="7" t="s">
        <v>730</v>
      </c>
      <c r="E2" s="166" t="s">
        <v>731</v>
      </c>
      <c r="F2" s="7" t="s">
        <v>678</v>
      </c>
      <c r="G2" s="7" t="s">
        <v>759</v>
      </c>
      <c r="H2" s="166" t="s">
        <v>753</v>
      </c>
      <c r="I2" s="38" t="s">
        <v>211</v>
      </c>
      <c r="J2" s="218">
        <v>16</v>
      </c>
      <c r="K2" s="220">
        <v>12</v>
      </c>
      <c r="L2" s="220" t="s">
        <v>757</v>
      </c>
      <c r="M2" s="38">
        <v>4</v>
      </c>
      <c r="N2" s="39" t="s">
        <v>241</v>
      </c>
      <c r="O2" s="249">
        <v>75</v>
      </c>
      <c r="P2" s="34" t="s">
        <v>399</v>
      </c>
      <c r="Q2" s="38" t="s">
        <v>361</v>
      </c>
      <c r="R2" s="220"/>
      <c r="S2" s="220" t="s">
        <v>275</v>
      </c>
      <c r="T2" s="18" t="e">
        <f>(#REF!-#REF!)/1.2</f>
        <v>#REF!</v>
      </c>
      <c r="U2" s="51" t="e">
        <f>T2*1.2/#REF!</f>
        <v>#REF!</v>
      </c>
      <c r="V2" s="52"/>
      <c r="W2" s="53"/>
      <c r="X2" s="54"/>
      <c r="Y2" s="54"/>
      <c r="Z2" s="54"/>
      <c r="AA2" s="60"/>
      <c r="AB2" s="61"/>
      <c r="AC2" s="62" t="e">
        <f>(AB2/#REF!)-1</f>
        <v>#REF!</v>
      </c>
      <c r="AD2" s="63" t="e">
        <f>AB2-#REF!</f>
        <v>#REF!</v>
      </c>
      <c r="AE2" s="62" t="e">
        <f>1-(#REF!/AB2)</f>
        <v>#REF!</v>
      </c>
      <c r="AF2" s="151" t="s">
        <v>536</v>
      </c>
      <c r="AG2" s="7" t="s">
        <v>226</v>
      </c>
      <c r="AH2" s="220"/>
      <c r="AI2" s="221"/>
      <c r="AJ2" s="163"/>
    </row>
    <row r="3" spans="1:36" s="2" customFormat="1" ht="28.5" customHeight="1">
      <c r="A3" s="266" t="s">
        <v>905</v>
      </c>
      <c r="B3" s="180"/>
      <c r="C3" s="6" t="s">
        <v>1</v>
      </c>
      <c r="D3" s="7" t="s">
        <v>730</v>
      </c>
      <c r="E3" s="166" t="s">
        <v>731</v>
      </c>
      <c r="F3" s="7" t="s">
        <v>679</v>
      </c>
      <c r="G3" s="7" t="s">
        <v>759</v>
      </c>
      <c r="H3" s="166" t="s">
        <v>753</v>
      </c>
      <c r="I3" s="38" t="s">
        <v>213</v>
      </c>
      <c r="J3" s="218">
        <v>16</v>
      </c>
      <c r="K3" s="220">
        <v>12</v>
      </c>
      <c r="L3" s="220" t="s">
        <v>757</v>
      </c>
      <c r="M3" s="38">
        <v>4</v>
      </c>
      <c r="N3" s="39" t="s">
        <v>241</v>
      </c>
      <c r="O3" s="249">
        <v>130</v>
      </c>
      <c r="P3" s="34" t="s">
        <v>399</v>
      </c>
      <c r="Q3" s="38" t="s">
        <v>361</v>
      </c>
      <c r="R3" s="220"/>
      <c r="S3" s="220" t="s">
        <v>275</v>
      </c>
      <c r="T3" s="18" t="e">
        <f>(#REF!-#REF!)/1.2</f>
        <v>#REF!</v>
      </c>
      <c r="U3" s="51" t="e">
        <f>T3*1.2/#REF!</f>
        <v>#REF!</v>
      </c>
      <c r="V3" s="52"/>
      <c r="W3" s="53"/>
      <c r="X3" s="54"/>
      <c r="Y3" s="54"/>
      <c r="Z3" s="54"/>
      <c r="AA3" s="60"/>
      <c r="AB3" s="61"/>
      <c r="AC3" s="62" t="e">
        <f>(AB3/#REF!)-1</f>
        <v>#REF!</v>
      </c>
      <c r="AD3" s="63" t="e">
        <f>AB3-#REF!</f>
        <v>#REF!</v>
      </c>
      <c r="AE3" s="62" t="e">
        <f>1-(#REF!/AB3)</f>
        <v>#REF!</v>
      </c>
      <c r="AF3" s="151" t="s">
        <v>537</v>
      </c>
      <c r="AG3" s="7" t="s">
        <v>210</v>
      </c>
      <c r="AH3" s="220"/>
      <c r="AI3" s="221"/>
      <c r="AJ3" s="163"/>
    </row>
    <row r="4" spans="1:36" s="2" customFormat="1" ht="28.5" customHeight="1">
      <c r="A4" s="266" t="s">
        <v>906</v>
      </c>
      <c r="B4" s="180"/>
      <c r="C4" s="6" t="s">
        <v>2</v>
      </c>
      <c r="D4" s="7" t="s">
        <v>730</v>
      </c>
      <c r="E4" s="166" t="s">
        <v>731</v>
      </c>
      <c r="F4" s="7" t="s">
        <v>680</v>
      </c>
      <c r="G4" s="7" t="s">
        <v>759</v>
      </c>
      <c r="H4" s="166" t="s">
        <v>753</v>
      </c>
      <c r="I4" s="38" t="s">
        <v>215</v>
      </c>
      <c r="J4" s="218">
        <v>16</v>
      </c>
      <c r="K4" s="220">
        <v>12</v>
      </c>
      <c r="L4" s="220" t="s">
        <v>757</v>
      </c>
      <c r="M4" s="38">
        <v>4</v>
      </c>
      <c r="N4" s="39" t="s">
        <v>241</v>
      </c>
      <c r="O4" s="249">
        <v>175</v>
      </c>
      <c r="P4" s="34" t="s">
        <v>399</v>
      </c>
      <c r="Q4" s="38" t="s">
        <v>361</v>
      </c>
      <c r="R4" s="220"/>
      <c r="S4" s="220" t="s">
        <v>275</v>
      </c>
      <c r="T4" s="18" t="e">
        <f>(#REF!-#REF!)/1.2</f>
        <v>#REF!</v>
      </c>
      <c r="U4" s="51" t="e">
        <f>T4*1.2/#REF!</f>
        <v>#REF!</v>
      </c>
      <c r="V4" s="52"/>
      <c r="W4" s="53"/>
      <c r="X4" s="54"/>
      <c r="Y4" s="54"/>
      <c r="Z4" s="54"/>
      <c r="AA4" s="60"/>
      <c r="AB4" s="61"/>
      <c r="AC4" s="62" t="e">
        <f>(AB4/#REF!)-1</f>
        <v>#REF!</v>
      </c>
      <c r="AD4" s="63" t="e">
        <f>AB4-#REF!</f>
        <v>#REF!</v>
      </c>
      <c r="AE4" s="62" t="e">
        <f>1-(#REF!/AB4)</f>
        <v>#REF!</v>
      </c>
      <c r="AF4" s="151" t="s">
        <v>538</v>
      </c>
      <c r="AG4" s="7" t="s">
        <v>214</v>
      </c>
      <c r="AH4" s="220"/>
      <c r="AI4" s="221"/>
      <c r="AJ4" s="163"/>
    </row>
    <row r="5" spans="1:36" s="2" customFormat="1" ht="28.5" customHeight="1">
      <c r="A5" s="266" t="s">
        <v>907</v>
      </c>
      <c r="B5" s="180"/>
      <c r="C5" s="6" t="s">
        <v>3</v>
      </c>
      <c r="D5" s="7" t="s">
        <v>730</v>
      </c>
      <c r="E5" s="166" t="s">
        <v>731</v>
      </c>
      <c r="F5" s="7" t="s">
        <v>681</v>
      </c>
      <c r="G5" s="7" t="s">
        <v>759</v>
      </c>
      <c r="H5" s="166" t="s">
        <v>753</v>
      </c>
      <c r="I5" s="38" t="s">
        <v>217</v>
      </c>
      <c r="J5" s="218">
        <v>16</v>
      </c>
      <c r="K5" s="220">
        <v>12</v>
      </c>
      <c r="L5" s="220" t="s">
        <v>757</v>
      </c>
      <c r="M5" s="38">
        <v>4</v>
      </c>
      <c r="N5" s="39" t="s">
        <v>241</v>
      </c>
      <c r="O5" s="249">
        <v>190</v>
      </c>
      <c r="P5" s="34" t="s">
        <v>399</v>
      </c>
      <c r="Q5" s="38" t="s">
        <v>361</v>
      </c>
      <c r="R5" s="220"/>
      <c r="S5" s="220" t="s">
        <v>275</v>
      </c>
      <c r="T5" s="18" t="e">
        <f>(#REF!-#REF!)/1.2</f>
        <v>#REF!</v>
      </c>
      <c r="U5" s="51" t="e">
        <f>T5*1.2/#REF!</f>
        <v>#REF!</v>
      </c>
      <c r="V5" s="52"/>
      <c r="W5" s="53"/>
      <c r="X5" s="54"/>
      <c r="Y5" s="54"/>
      <c r="Z5" s="54"/>
      <c r="AA5" s="60"/>
      <c r="AB5" s="61"/>
      <c r="AC5" s="62" t="e">
        <f>(AB5/#REF!)-1</f>
        <v>#REF!</v>
      </c>
      <c r="AD5" s="63" t="e">
        <f>AB5-#REF!</f>
        <v>#REF!</v>
      </c>
      <c r="AE5" s="62" t="e">
        <f>1-(#REF!/AB5)</f>
        <v>#REF!</v>
      </c>
      <c r="AF5" s="151" t="s">
        <v>539</v>
      </c>
      <c r="AG5" s="7" t="s">
        <v>216</v>
      </c>
      <c r="AH5" s="220"/>
      <c r="AI5" s="221"/>
      <c r="AJ5" s="163"/>
    </row>
    <row r="6" spans="1:36" s="2" customFormat="1" ht="28.5" customHeight="1">
      <c r="A6" s="266" t="s">
        <v>908</v>
      </c>
      <c r="B6" s="180"/>
      <c r="C6" s="6" t="s">
        <v>4</v>
      </c>
      <c r="D6" s="7" t="s">
        <v>730</v>
      </c>
      <c r="E6" s="166" t="s">
        <v>731</v>
      </c>
      <c r="F6" s="7" t="s">
        <v>682</v>
      </c>
      <c r="G6" s="7" t="s">
        <v>759</v>
      </c>
      <c r="H6" s="166" t="s">
        <v>753</v>
      </c>
      <c r="I6" s="38" t="s">
        <v>219</v>
      </c>
      <c r="J6" s="218">
        <v>16</v>
      </c>
      <c r="K6" s="220">
        <v>12</v>
      </c>
      <c r="L6" s="220" t="s">
        <v>757</v>
      </c>
      <c r="M6" s="38">
        <v>4</v>
      </c>
      <c r="N6" s="39" t="s">
        <v>241</v>
      </c>
      <c r="O6" s="249">
        <v>270</v>
      </c>
      <c r="P6" s="34" t="s">
        <v>399</v>
      </c>
      <c r="Q6" s="38" t="s">
        <v>361</v>
      </c>
      <c r="R6" s="220"/>
      <c r="S6" s="220" t="s">
        <v>275</v>
      </c>
      <c r="T6" s="18" t="e">
        <f>(#REF!-#REF!)/1.2</f>
        <v>#REF!</v>
      </c>
      <c r="U6" s="51" t="e">
        <f>T6*1.2/#REF!</f>
        <v>#REF!</v>
      </c>
      <c r="V6" s="52"/>
      <c r="W6" s="53"/>
      <c r="X6" s="54"/>
      <c r="Y6" s="54"/>
      <c r="Z6" s="54"/>
      <c r="AA6" s="60"/>
      <c r="AB6" s="61"/>
      <c r="AC6" s="62" t="e">
        <f>(AB6/#REF!)-1</f>
        <v>#REF!</v>
      </c>
      <c r="AD6" s="63" t="e">
        <f>AB6-#REF!</f>
        <v>#REF!</v>
      </c>
      <c r="AE6" s="62" t="e">
        <f>1-(#REF!/AB6)</f>
        <v>#REF!</v>
      </c>
      <c r="AF6" s="151" t="s">
        <v>540</v>
      </c>
      <c r="AG6" s="7" t="s">
        <v>218</v>
      </c>
      <c r="AH6" s="220"/>
      <c r="AI6" s="221"/>
      <c r="AJ6" s="163"/>
    </row>
    <row r="7" spans="1:36" s="2" customFormat="1" ht="28.5" customHeight="1">
      <c r="A7" s="266" t="s">
        <v>909</v>
      </c>
      <c r="B7" s="180"/>
      <c r="C7" s="6" t="s">
        <v>5</v>
      </c>
      <c r="D7" s="7" t="s">
        <v>730</v>
      </c>
      <c r="E7" s="166" t="s">
        <v>731</v>
      </c>
      <c r="F7" s="7" t="s">
        <v>683</v>
      </c>
      <c r="G7" s="7" t="s">
        <v>759</v>
      </c>
      <c r="H7" s="166" t="s">
        <v>753</v>
      </c>
      <c r="I7" s="38" t="s">
        <v>221</v>
      </c>
      <c r="J7" s="218">
        <v>16</v>
      </c>
      <c r="K7" s="220">
        <v>12</v>
      </c>
      <c r="L7" s="220" t="s">
        <v>757</v>
      </c>
      <c r="M7" s="38">
        <v>4</v>
      </c>
      <c r="N7" s="39" t="s">
        <v>241</v>
      </c>
      <c r="O7" s="249">
        <v>240</v>
      </c>
      <c r="P7" s="34" t="s">
        <v>399</v>
      </c>
      <c r="Q7" s="38" t="s">
        <v>361</v>
      </c>
      <c r="R7" s="220"/>
      <c r="S7" s="220" t="s">
        <v>275</v>
      </c>
      <c r="T7" s="18" t="e">
        <f>(#REF!-#REF!)/1.2</f>
        <v>#REF!</v>
      </c>
      <c r="U7" s="51" t="e">
        <f>T7*1.2/#REF!</f>
        <v>#REF!</v>
      </c>
      <c r="V7" s="52"/>
      <c r="W7" s="53"/>
      <c r="X7" s="54"/>
      <c r="Y7" s="54"/>
      <c r="Z7" s="54"/>
      <c r="AA7" s="60"/>
      <c r="AB7" s="61"/>
      <c r="AC7" s="62" t="e">
        <f>(AB7/#REF!)-1</f>
        <v>#REF!</v>
      </c>
      <c r="AD7" s="63" t="e">
        <f>AB7-#REF!</f>
        <v>#REF!</v>
      </c>
      <c r="AE7" s="62" t="e">
        <f>1-(#REF!/AB7)</f>
        <v>#REF!</v>
      </c>
      <c r="AF7" s="151" t="s">
        <v>541</v>
      </c>
      <c r="AG7" s="7" t="s">
        <v>220</v>
      </c>
      <c r="AH7" s="220"/>
      <c r="AI7" s="221"/>
      <c r="AJ7" s="163"/>
    </row>
    <row r="8" spans="1:36" s="2" customFormat="1" ht="28.5" customHeight="1">
      <c r="A8" s="266" t="s">
        <v>910</v>
      </c>
      <c r="B8" s="180"/>
      <c r="C8" s="6" t="s">
        <v>6</v>
      </c>
      <c r="D8" s="7" t="s">
        <v>730</v>
      </c>
      <c r="E8" s="166" t="s">
        <v>731</v>
      </c>
      <c r="F8" s="7" t="s">
        <v>684</v>
      </c>
      <c r="G8" s="7" t="s">
        <v>759</v>
      </c>
      <c r="H8" s="166" t="s">
        <v>753</v>
      </c>
      <c r="I8" s="38" t="s">
        <v>223</v>
      </c>
      <c r="J8" s="218">
        <v>16</v>
      </c>
      <c r="K8" s="220">
        <v>12</v>
      </c>
      <c r="L8" s="220" t="s">
        <v>757</v>
      </c>
      <c r="M8" s="38">
        <v>4</v>
      </c>
      <c r="N8" s="39" t="s">
        <v>241</v>
      </c>
      <c r="O8" s="249">
        <v>350</v>
      </c>
      <c r="P8" s="34" t="s">
        <v>399</v>
      </c>
      <c r="Q8" s="38" t="s">
        <v>361</v>
      </c>
      <c r="R8" s="220"/>
      <c r="S8" s="220" t="s">
        <v>275</v>
      </c>
      <c r="T8" s="18" t="e">
        <f>(#REF!-#REF!)/1.2</f>
        <v>#REF!</v>
      </c>
      <c r="U8" s="51" t="e">
        <f>T8*1.2/#REF!</f>
        <v>#REF!</v>
      </c>
      <c r="V8" s="52"/>
      <c r="W8" s="53"/>
      <c r="X8" s="54"/>
      <c r="Y8" s="54"/>
      <c r="Z8" s="54"/>
      <c r="AA8" s="60"/>
      <c r="AB8" s="61"/>
      <c r="AC8" s="62" t="e">
        <f>(AB8/#REF!)-1</f>
        <v>#REF!</v>
      </c>
      <c r="AD8" s="63" t="e">
        <f>AB8-#REF!</f>
        <v>#REF!</v>
      </c>
      <c r="AE8" s="62" t="e">
        <f>1-(#REF!/AB8)</f>
        <v>#REF!</v>
      </c>
      <c r="AF8" s="151" t="s">
        <v>542</v>
      </c>
      <c r="AG8" s="7" t="s">
        <v>222</v>
      </c>
      <c r="AH8" s="220"/>
      <c r="AI8" s="221"/>
      <c r="AJ8" s="163"/>
    </row>
    <row r="9" spans="1:36" s="2" customFormat="1" ht="27" customHeight="1" thickBot="1">
      <c r="A9" s="266" t="s">
        <v>911</v>
      </c>
      <c r="B9" s="180"/>
      <c r="C9" s="65" t="s">
        <v>7</v>
      </c>
      <c r="D9" s="66" t="s">
        <v>730</v>
      </c>
      <c r="E9" s="164" t="s">
        <v>731</v>
      </c>
      <c r="F9" s="66" t="s">
        <v>685</v>
      </c>
      <c r="G9" s="66" t="s">
        <v>759</v>
      </c>
      <c r="H9" s="164" t="s">
        <v>753</v>
      </c>
      <c r="I9" s="45" t="s">
        <v>225</v>
      </c>
      <c r="J9" s="216">
        <v>16</v>
      </c>
      <c r="K9" s="222">
        <v>12</v>
      </c>
      <c r="L9" s="222" t="s">
        <v>757</v>
      </c>
      <c r="M9" s="45">
        <v>6</v>
      </c>
      <c r="N9" s="50" t="s">
        <v>241</v>
      </c>
      <c r="O9" s="258">
        <v>545</v>
      </c>
      <c r="P9" s="67" t="s">
        <v>399</v>
      </c>
      <c r="Q9" s="45" t="s">
        <v>361</v>
      </c>
      <c r="R9" s="222"/>
      <c r="S9" s="222" t="s">
        <v>275</v>
      </c>
      <c r="T9" s="68" t="e">
        <f>(#REF!-#REF!)/1.2</f>
        <v>#REF!</v>
      </c>
      <c r="U9" s="69" t="e">
        <f>T9*1.2/#REF!</f>
        <v>#REF!</v>
      </c>
      <c r="V9" s="70"/>
      <c r="W9" s="71"/>
      <c r="X9" s="72"/>
      <c r="Y9" s="72"/>
      <c r="Z9" s="72"/>
      <c r="AA9" s="73"/>
      <c r="AB9" s="74"/>
      <c r="AC9" s="75" t="e">
        <f>(AB9/#REF!)-1</f>
        <v>#REF!</v>
      </c>
      <c r="AD9" s="76" t="e">
        <f>AB9-#REF!</f>
        <v>#REF!</v>
      </c>
      <c r="AE9" s="75" t="e">
        <f>1-(#REF!/AB9)</f>
        <v>#REF!</v>
      </c>
      <c r="AF9" s="151" t="s">
        <v>543</v>
      </c>
      <c r="AG9" s="66" t="s">
        <v>224</v>
      </c>
      <c r="AH9" s="222"/>
      <c r="AI9" s="223"/>
      <c r="AJ9" s="163"/>
    </row>
    <row r="10" spans="1:36" ht="27" customHeight="1">
      <c r="A10" s="266" t="s">
        <v>912</v>
      </c>
      <c r="B10" s="185"/>
      <c r="C10" s="89" t="s">
        <v>8</v>
      </c>
      <c r="D10" s="90" t="s">
        <v>730</v>
      </c>
      <c r="E10" s="90" t="s">
        <v>732</v>
      </c>
      <c r="F10" s="90" t="s">
        <v>686</v>
      </c>
      <c r="G10" s="90" t="s">
        <v>760</v>
      </c>
      <c r="H10" s="91" t="s">
        <v>753</v>
      </c>
      <c r="I10" s="91" t="s">
        <v>211</v>
      </c>
      <c r="J10" s="91">
        <v>16</v>
      </c>
      <c r="K10" s="224">
        <v>12</v>
      </c>
      <c r="L10" s="224" t="s">
        <v>757</v>
      </c>
      <c r="M10" s="91">
        <v>4</v>
      </c>
      <c r="N10" s="92" t="s">
        <v>241</v>
      </c>
      <c r="O10" s="261">
        <v>75</v>
      </c>
      <c r="P10" s="94" t="s">
        <v>399</v>
      </c>
      <c r="Q10" s="91" t="s">
        <v>361</v>
      </c>
      <c r="R10" s="224"/>
      <c r="S10" s="224" t="s">
        <v>751</v>
      </c>
      <c r="T10" s="95" t="e">
        <f>(#REF!-#REF!)/1.2</f>
        <v>#REF!</v>
      </c>
      <c r="U10" s="96" t="e">
        <f>T10*1.2/#REF!</f>
        <v>#REF!</v>
      </c>
      <c r="V10" s="97"/>
      <c r="W10" s="98"/>
      <c r="X10" s="100"/>
      <c r="Y10" s="100"/>
      <c r="Z10" s="100"/>
      <c r="AA10" s="119"/>
      <c r="AB10" s="120"/>
      <c r="AC10" s="103" t="e">
        <f>(AB10/#REF!)-1</f>
        <v>#REF!</v>
      </c>
      <c r="AD10" s="102" t="e">
        <f>AB10-#REF!</f>
        <v>#REF!</v>
      </c>
      <c r="AE10" s="153" t="e">
        <f>1-(#REF!/AB10)</f>
        <v>#REF!</v>
      </c>
      <c r="AF10" s="157" t="s">
        <v>544</v>
      </c>
      <c r="AG10" s="90" t="s">
        <v>227</v>
      </c>
      <c r="AH10" s="224" t="s">
        <v>370</v>
      </c>
      <c r="AI10" s="225"/>
      <c r="AJ10" s="163"/>
    </row>
    <row r="11" spans="1:36" ht="27" customHeight="1">
      <c r="A11" s="266" t="s">
        <v>913</v>
      </c>
      <c r="B11" s="186"/>
      <c r="C11" s="6" t="s">
        <v>9</v>
      </c>
      <c r="D11" s="7" t="s">
        <v>730</v>
      </c>
      <c r="E11" s="7" t="s">
        <v>732</v>
      </c>
      <c r="F11" s="7" t="s">
        <v>687</v>
      </c>
      <c r="G11" s="7" t="s">
        <v>760</v>
      </c>
      <c r="H11" s="166" t="s">
        <v>753</v>
      </c>
      <c r="I11" s="47" t="s">
        <v>213</v>
      </c>
      <c r="J11" s="218">
        <v>16</v>
      </c>
      <c r="K11" s="220">
        <v>12</v>
      </c>
      <c r="L11" s="220" t="s">
        <v>757</v>
      </c>
      <c r="M11" s="47">
        <v>4</v>
      </c>
      <c r="N11" s="48" t="s">
        <v>241</v>
      </c>
      <c r="O11" s="249">
        <v>130</v>
      </c>
      <c r="P11" s="34" t="s">
        <v>399</v>
      </c>
      <c r="Q11" s="47" t="s">
        <v>361</v>
      </c>
      <c r="R11" s="220"/>
      <c r="S11" s="220" t="s">
        <v>751</v>
      </c>
      <c r="T11" s="18" t="e">
        <f>(#REF!-#REF!)/1.2</f>
        <v>#REF!</v>
      </c>
      <c r="U11" s="51" t="e">
        <f>T11*1.2/#REF!</f>
        <v>#REF!</v>
      </c>
      <c r="V11" s="52"/>
      <c r="W11" s="53"/>
      <c r="X11" s="54"/>
      <c r="Y11" s="54"/>
      <c r="Z11" s="54"/>
      <c r="AA11" s="60"/>
      <c r="AB11" s="61"/>
      <c r="AC11" s="62" t="e">
        <f>(AB11/#REF!)-1</f>
        <v>#REF!</v>
      </c>
      <c r="AD11" s="63" t="e">
        <f>AB11-#REF!</f>
        <v>#REF!</v>
      </c>
      <c r="AE11" s="154" t="e">
        <f>1-(#REF!/AB11)</f>
        <v>#REF!</v>
      </c>
      <c r="AF11" s="157" t="s">
        <v>545</v>
      </c>
      <c r="AG11" s="7" t="s">
        <v>228</v>
      </c>
      <c r="AH11" s="220" t="s">
        <v>371</v>
      </c>
      <c r="AI11" s="221"/>
      <c r="AJ11" s="163"/>
    </row>
    <row r="12" spans="1:36" ht="27" customHeight="1">
      <c r="A12" s="266" t="s">
        <v>914</v>
      </c>
      <c r="B12" s="186"/>
      <c r="C12" s="6" t="s">
        <v>10</v>
      </c>
      <c r="D12" s="7" t="s">
        <v>730</v>
      </c>
      <c r="E12" s="7" t="s">
        <v>732</v>
      </c>
      <c r="F12" s="7" t="s">
        <v>688</v>
      </c>
      <c r="G12" s="7" t="s">
        <v>760</v>
      </c>
      <c r="H12" s="166" t="s">
        <v>753</v>
      </c>
      <c r="I12" s="47" t="s">
        <v>215</v>
      </c>
      <c r="J12" s="218">
        <v>16</v>
      </c>
      <c r="K12" s="220">
        <v>12</v>
      </c>
      <c r="L12" s="220" t="s">
        <v>757</v>
      </c>
      <c r="M12" s="47">
        <v>4</v>
      </c>
      <c r="N12" s="48" t="s">
        <v>241</v>
      </c>
      <c r="O12" s="249">
        <v>175</v>
      </c>
      <c r="P12" s="34" t="s">
        <v>399</v>
      </c>
      <c r="Q12" s="47" t="s">
        <v>361</v>
      </c>
      <c r="R12" s="220"/>
      <c r="S12" s="220" t="s">
        <v>751</v>
      </c>
      <c r="T12" s="18" t="e">
        <f>(#REF!-#REF!)/1.2</f>
        <v>#REF!</v>
      </c>
      <c r="U12" s="51" t="e">
        <f>T12*1.2/#REF!</f>
        <v>#REF!</v>
      </c>
      <c r="V12" s="52"/>
      <c r="W12" s="53"/>
      <c r="X12" s="54"/>
      <c r="Y12" s="54"/>
      <c r="Z12" s="54"/>
      <c r="AA12" s="60"/>
      <c r="AB12" s="61"/>
      <c r="AC12" s="62" t="e">
        <f>(AB12/#REF!)-1</f>
        <v>#REF!</v>
      </c>
      <c r="AD12" s="63" t="e">
        <f>AB12-#REF!</f>
        <v>#REF!</v>
      </c>
      <c r="AE12" s="154" t="e">
        <f>1-(#REF!/AB12)</f>
        <v>#REF!</v>
      </c>
      <c r="AF12" s="157" t="s">
        <v>546</v>
      </c>
      <c r="AG12" s="7" t="s">
        <v>229</v>
      </c>
      <c r="AH12" s="220" t="s">
        <v>372</v>
      </c>
      <c r="AI12" s="221"/>
      <c r="AJ12" s="163"/>
    </row>
    <row r="13" spans="1:36" ht="27" customHeight="1">
      <c r="A13" s="266" t="s">
        <v>915</v>
      </c>
      <c r="B13" s="186"/>
      <c r="C13" s="6" t="s">
        <v>11</v>
      </c>
      <c r="D13" s="7" t="s">
        <v>730</v>
      </c>
      <c r="E13" s="7" t="s">
        <v>732</v>
      </c>
      <c r="F13" s="7" t="s">
        <v>689</v>
      </c>
      <c r="G13" s="7" t="s">
        <v>760</v>
      </c>
      <c r="H13" s="166" t="s">
        <v>753</v>
      </c>
      <c r="I13" s="47" t="s">
        <v>217</v>
      </c>
      <c r="J13" s="218">
        <v>16</v>
      </c>
      <c r="K13" s="220">
        <v>12</v>
      </c>
      <c r="L13" s="220" t="s">
        <v>757</v>
      </c>
      <c r="M13" s="47">
        <v>4</v>
      </c>
      <c r="N13" s="48" t="s">
        <v>241</v>
      </c>
      <c r="O13" s="249">
        <v>190</v>
      </c>
      <c r="P13" s="34" t="s">
        <v>399</v>
      </c>
      <c r="Q13" s="47" t="s">
        <v>361</v>
      </c>
      <c r="R13" s="220"/>
      <c r="S13" s="220" t="s">
        <v>751</v>
      </c>
      <c r="T13" s="18" t="e">
        <f>(#REF!-#REF!)/1.2</f>
        <v>#REF!</v>
      </c>
      <c r="U13" s="51" t="e">
        <f>T13*1.2/#REF!</f>
        <v>#REF!</v>
      </c>
      <c r="V13" s="52"/>
      <c r="W13" s="53"/>
      <c r="X13" s="54"/>
      <c r="Y13" s="54"/>
      <c r="Z13" s="54"/>
      <c r="AA13" s="60"/>
      <c r="AB13" s="61"/>
      <c r="AC13" s="62" t="e">
        <f>(AB13/#REF!)-1</f>
        <v>#REF!</v>
      </c>
      <c r="AD13" s="63" t="e">
        <f>AB13-#REF!</f>
        <v>#REF!</v>
      </c>
      <c r="AE13" s="154" t="e">
        <f>1-(#REF!/AB13)</f>
        <v>#REF!</v>
      </c>
      <c r="AF13" s="157" t="s">
        <v>547</v>
      </c>
      <c r="AG13" s="7" t="s">
        <v>230</v>
      </c>
      <c r="AH13" s="220" t="s">
        <v>373</v>
      </c>
      <c r="AI13" s="221"/>
      <c r="AJ13" s="163"/>
    </row>
    <row r="14" spans="1:36" ht="27" customHeight="1">
      <c r="A14" s="266" t="s">
        <v>916</v>
      </c>
      <c r="B14" s="186"/>
      <c r="C14" s="6" t="s">
        <v>12</v>
      </c>
      <c r="D14" s="7" t="s">
        <v>730</v>
      </c>
      <c r="E14" s="7" t="s">
        <v>732</v>
      </c>
      <c r="F14" s="7" t="s">
        <v>690</v>
      </c>
      <c r="G14" s="7" t="s">
        <v>760</v>
      </c>
      <c r="H14" s="166" t="s">
        <v>753</v>
      </c>
      <c r="I14" s="47" t="s">
        <v>219</v>
      </c>
      <c r="J14" s="218">
        <v>16</v>
      </c>
      <c r="K14" s="220">
        <v>12</v>
      </c>
      <c r="L14" s="220" t="s">
        <v>757</v>
      </c>
      <c r="M14" s="47">
        <v>4</v>
      </c>
      <c r="N14" s="48" t="s">
        <v>241</v>
      </c>
      <c r="O14" s="249">
        <v>270</v>
      </c>
      <c r="P14" s="34" t="s">
        <v>399</v>
      </c>
      <c r="Q14" s="47" t="s">
        <v>361</v>
      </c>
      <c r="R14" s="220"/>
      <c r="S14" s="220" t="s">
        <v>751</v>
      </c>
      <c r="T14" s="18" t="e">
        <f>(#REF!-#REF!)/1.2</f>
        <v>#REF!</v>
      </c>
      <c r="U14" s="51" t="e">
        <f>T14*1.2/#REF!</f>
        <v>#REF!</v>
      </c>
      <c r="V14" s="52"/>
      <c r="W14" s="53"/>
      <c r="X14" s="54"/>
      <c r="Y14" s="54"/>
      <c r="Z14" s="54"/>
      <c r="AA14" s="60"/>
      <c r="AB14" s="61"/>
      <c r="AC14" s="62" t="e">
        <f>(AB14/#REF!)-1</f>
        <v>#REF!</v>
      </c>
      <c r="AD14" s="63" t="e">
        <f>AB14-#REF!</f>
        <v>#REF!</v>
      </c>
      <c r="AE14" s="154" t="e">
        <f>1-(#REF!/AB14)</f>
        <v>#REF!</v>
      </c>
      <c r="AF14" s="157" t="s">
        <v>548</v>
      </c>
      <c r="AG14" s="7" t="s">
        <v>231</v>
      </c>
      <c r="AH14" s="220" t="s">
        <v>374</v>
      </c>
      <c r="AI14" s="221"/>
      <c r="AJ14" s="163"/>
    </row>
    <row r="15" spans="1:36" ht="27" customHeight="1">
      <c r="A15" s="266" t="s">
        <v>917</v>
      </c>
      <c r="B15" s="186"/>
      <c r="C15" s="6" t="s">
        <v>13</v>
      </c>
      <c r="D15" s="7" t="s">
        <v>730</v>
      </c>
      <c r="E15" s="7" t="s">
        <v>732</v>
      </c>
      <c r="F15" s="7" t="s">
        <v>691</v>
      </c>
      <c r="G15" s="7" t="s">
        <v>760</v>
      </c>
      <c r="H15" s="166" t="s">
        <v>753</v>
      </c>
      <c r="I15" s="47" t="s">
        <v>221</v>
      </c>
      <c r="J15" s="218">
        <v>16</v>
      </c>
      <c r="K15" s="220">
        <v>12</v>
      </c>
      <c r="L15" s="220" t="s">
        <v>757</v>
      </c>
      <c r="M15" s="47">
        <v>4</v>
      </c>
      <c r="N15" s="48" t="s">
        <v>241</v>
      </c>
      <c r="O15" s="249">
        <v>240</v>
      </c>
      <c r="P15" s="34" t="s">
        <v>399</v>
      </c>
      <c r="Q15" s="47" t="s">
        <v>361</v>
      </c>
      <c r="R15" s="220"/>
      <c r="S15" s="220" t="s">
        <v>751</v>
      </c>
      <c r="T15" s="18" t="e">
        <f>(#REF!-#REF!)/1.2</f>
        <v>#REF!</v>
      </c>
      <c r="U15" s="51" t="e">
        <f>T15*1.2/#REF!</f>
        <v>#REF!</v>
      </c>
      <c r="V15" s="52"/>
      <c r="W15" s="53"/>
      <c r="X15" s="54"/>
      <c r="Y15" s="54"/>
      <c r="Z15" s="54"/>
      <c r="AA15" s="60"/>
      <c r="AB15" s="61"/>
      <c r="AC15" s="62" t="e">
        <f>(AB15/#REF!)-1</f>
        <v>#REF!</v>
      </c>
      <c r="AD15" s="63" t="e">
        <f>AB15-#REF!</f>
        <v>#REF!</v>
      </c>
      <c r="AE15" s="154" t="e">
        <f>1-(#REF!/AB15)</f>
        <v>#REF!</v>
      </c>
      <c r="AF15" s="157" t="s">
        <v>549</v>
      </c>
      <c r="AG15" s="7" t="s">
        <v>232</v>
      </c>
      <c r="AH15" s="220" t="s">
        <v>375</v>
      </c>
      <c r="AI15" s="221"/>
      <c r="AJ15" s="163"/>
    </row>
    <row r="16" spans="1:36" ht="27" customHeight="1">
      <c r="A16" s="266" t="s">
        <v>918</v>
      </c>
      <c r="B16" s="186"/>
      <c r="C16" s="6" t="s">
        <v>14</v>
      </c>
      <c r="D16" s="7" t="s">
        <v>730</v>
      </c>
      <c r="E16" s="7" t="s">
        <v>732</v>
      </c>
      <c r="F16" s="7" t="s">
        <v>692</v>
      </c>
      <c r="G16" s="7" t="s">
        <v>760</v>
      </c>
      <c r="H16" s="166" t="s">
        <v>753</v>
      </c>
      <c r="I16" s="47" t="s">
        <v>223</v>
      </c>
      <c r="J16" s="218">
        <v>16</v>
      </c>
      <c r="K16" s="220">
        <v>12</v>
      </c>
      <c r="L16" s="220" t="s">
        <v>757</v>
      </c>
      <c r="M16" s="47">
        <v>4</v>
      </c>
      <c r="N16" s="48" t="s">
        <v>241</v>
      </c>
      <c r="O16" s="249">
        <v>350</v>
      </c>
      <c r="P16" s="34" t="s">
        <v>399</v>
      </c>
      <c r="Q16" s="47" t="s">
        <v>361</v>
      </c>
      <c r="R16" s="220"/>
      <c r="S16" s="220" t="s">
        <v>751</v>
      </c>
      <c r="T16" s="18" t="e">
        <f>(#REF!-#REF!)/1.2</f>
        <v>#REF!</v>
      </c>
      <c r="U16" s="51" t="e">
        <f>T16*1.2/#REF!</f>
        <v>#REF!</v>
      </c>
      <c r="V16" s="52"/>
      <c r="W16" s="53"/>
      <c r="X16" s="54"/>
      <c r="Y16" s="54"/>
      <c r="Z16" s="54"/>
      <c r="AA16" s="60"/>
      <c r="AB16" s="61"/>
      <c r="AC16" s="62" t="e">
        <f>(AB16/#REF!)-1</f>
        <v>#REF!</v>
      </c>
      <c r="AD16" s="63" t="e">
        <f>AB16-#REF!</f>
        <v>#REF!</v>
      </c>
      <c r="AE16" s="154" t="e">
        <f>1-(#REF!/AB16)</f>
        <v>#REF!</v>
      </c>
      <c r="AF16" s="157" t="s">
        <v>550</v>
      </c>
      <c r="AG16" s="7" t="s">
        <v>233</v>
      </c>
      <c r="AH16" s="220" t="s">
        <v>376</v>
      </c>
      <c r="AI16" s="221"/>
      <c r="AJ16" s="163"/>
    </row>
    <row r="17" spans="1:36" ht="28.5" customHeight="1" thickBot="1">
      <c r="A17" s="266" t="s">
        <v>919</v>
      </c>
      <c r="B17" s="187"/>
      <c r="C17" s="104" t="s">
        <v>15</v>
      </c>
      <c r="D17" s="105" t="s">
        <v>730</v>
      </c>
      <c r="E17" s="105" t="s">
        <v>732</v>
      </c>
      <c r="F17" s="105" t="s">
        <v>693</v>
      </c>
      <c r="G17" s="105" t="s">
        <v>760</v>
      </c>
      <c r="H17" s="106" t="s">
        <v>753</v>
      </c>
      <c r="I17" s="106" t="s">
        <v>225</v>
      </c>
      <c r="J17" s="106">
        <v>16</v>
      </c>
      <c r="K17" s="226">
        <v>12</v>
      </c>
      <c r="L17" s="226" t="s">
        <v>757</v>
      </c>
      <c r="M17" s="106">
        <v>6</v>
      </c>
      <c r="N17" s="107" t="s">
        <v>241</v>
      </c>
      <c r="O17" s="250">
        <v>545</v>
      </c>
      <c r="P17" s="109" t="s">
        <v>399</v>
      </c>
      <c r="Q17" s="106" t="s">
        <v>361</v>
      </c>
      <c r="R17" s="226"/>
      <c r="S17" s="226" t="s">
        <v>751</v>
      </c>
      <c r="T17" s="110" t="e">
        <f>(#REF!-#REF!)/1.2</f>
        <v>#REF!</v>
      </c>
      <c r="U17" s="111" t="e">
        <f>T17*1.2/#REF!</f>
        <v>#REF!</v>
      </c>
      <c r="V17" s="112"/>
      <c r="W17" s="113"/>
      <c r="X17" s="115"/>
      <c r="Y17" s="115"/>
      <c r="Z17" s="115"/>
      <c r="AA17" s="121"/>
      <c r="AB17" s="122"/>
      <c r="AC17" s="118" t="e">
        <f>(AB17/#REF!)-1</f>
        <v>#REF!</v>
      </c>
      <c r="AD17" s="117" t="e">
        <f>AB17-#REF!</f>
        <v>#REF!</v>
      </c>
      <c r="AE17" s="155" t="e">
        <f>1-(#REF!/AB17)</f>
        <v>#REF!</v>
      </c>
      <c r="AF17" s="157" t="s">
        <v>551</v>
      </c>
      <c r="AG17" s="105" t="s">
        <v>234</v>
      </c>
      <c r="AH17" s="226" t="s">
        <v>377</v>
      </c>
      <c r="AI17" s="227"/>
      <c r="AJ17" s="163"/>
    </row>
    <row r="18" spans="1:36" ht="27.75" customHeight="1">
      <c r="A18" s="266" t="s">
        <v>904</v>
      </c>
      <c r="B18" s="184"/>
      <c r="C18" s="89" t="s">
        <v>16</v>
      </c>
      <c r="D18" s="90" t="s">
        <v>730</v>
      </c>
      <c r="E18" s="90" t="s">
        <v>733</v>
      </c>
      <c r="F18" s="90" t="s">
        <v>694</v>
      </c>
      <c r="G18" s="90" t="s">
        <v>761</v>
      </c>
      <c r="H18" s="91" t="s">
        <v>753</v>
      </c>
      <c r="I18" s="91" t="s">
        <v>211</v>
      </c>
      <c r="J18" s="91">
        <v>16</v>
      </c>
      <c r="K18" s="224">
        <v>12</v>
      </c>
      <c r="L18" s="224" t="s">
        <v>757</v>
      </c>
      <c r="M18" s="91">
        <v>4</v>
      </c>
      <c r="N18" s="92" t="s">
        <v>241</v>
      </c>
      <c r="O18" s="261">
        <v>75</v>
      </c>
      <c r="P18" s="94" t="s">
        <v>399</v>
      </c>
      <c r="Q18" s="91" t="s">
        <v>523</v>
      </c>
      <c r="R18" s="224" t="s">
        <v>886</v>
      </c>
      <c r="S18" s="224" t="s">
        <v>275</v>
      </c>
      <c r="T18" s="95" t="e">
        <f>(#REF!-#REF!)/1.2</f>
        <v>#REF!</v>
      </c>
      <c r="U18" s="96" t="e">
        <f>T18*1.2/#REF!</f>
        <v>#REF!</v>
      </c>
      <c r="V18" s="97"/>
      <c r="W18" s="98"/>
      <c r="X18" s="100"/>
      <c r="Y18" s="100"/>
      <c r="Z18" s="100"/>
      <c r="AA18" s="119"/>
      <c r="AB18" s="120"/>
      <c r="AC18" s="103" t="e">
        <f>(AB18/#REF!)-1</f>
        <v>#REF!</v>
      </c>
      <c r="AD18" s="102" t="e">
        <f>AB18-#REF!</f>
        <v>#REF!</v>
      </c>
      <c r="AE18" s="153" t="e">
        <f>1-(#REF!/AB18)</f>
        <v>#REF!</v>
      </c>
      <c r="AF18" s="157" t="s">
        <v>552</v>
      </c>
      <c r="AG18" s="90" t="s">
        <v>378</v>
      </c>
      <c r="AH18" s="224"/>
      <c r="AI18" s="225"/>
      <c r="AJ18" s="163"/>
    </row>
    <row r="19" spans="1:36" ht="27.75" customHeight="1">
      <c r="A19" s="266" t="s">
        <v>905</v>
      </c>
      <c r="B19" s="186"/>
      <c r="C19" s="6" t="s">
        <v>17</v>
      </c>
      <c r="D19" s="7" t="s">
        <v>730</v>
      </c>
      <c r="E19" s="7" t="s">
        <v>733</v>
      </c>
      <c r="F19" s="7" t="s">
        <v>695</v>
      </c>
      <c r="G19" s="7" t="s">
        <v>761</v>
      </c>
      <c r="H19" s="166" t="s">
        <v>753</v>
      </c>
      <c r="I19" s="47" t="s">
        <v>213</v>
      </c>
      <c r="J19" s="218">
        <v>16</v>
      </c>
      <c r="K19" s="220">
        <v>12</v>
      </c>
      <c r="L19" s="220" t="s">
        <v>757</v>
      </c>
      <c r="M19" s="47">
        <v>4</v>
      </c>
      <c r="N19" s="48" t="s">
        <v>241</v>
      </c>
      <c r="O19" s="249">
        <v>130</v>
      </c>
      <c r="P19" s="34" t="s">
        <v>399</v>
      </c>
      <c r="Q19" s="47" t="s">
        <v>523</v>
      </c>
      <c r="R19" s="220" t="s">
        <v>886</v>
      </c>
      <c r="S19" s="220" t="s">
        <v>275</v>
      </c>
      <c r="T19" s="18" t="e">
        <f>(#REF!-#REF!)/1.2</f>
        <v>#REF!</v>
      </c>
      <c r="U19" s="51" t="e">
        <f>T19*1.2/#REF!</f>
        <v>#REF!</v>
      </c>
      <c r="V19" s="52"/>
      <c r="W19" s="53"/>
      <c r="X19" s="54"/>
      <c r="Y19" s="54"/>
      <c r="Z19" s="54"/>
      <c r="AA19" s="60"/>
      <c r="AB19" s="61"/>
      <c r="AC19" s="62" t="e">
        <f>(AB19/#REF!)-1</f>
        <v>#REF!</v>
      </c>
      <c r="AD19" s="63" t="e">
        <f>AB19-#REF!</f>
        <v>#REF!</v>
      </c>
      <c r="AE19" s="154" t="e">
        <f>1-(#REF!/AB19)</f>
        <v>#REF!</v>
      </c>
      <c r="AF19" s="157" t="s">
        <v>553</v>
      </c>
      <c r="AG19" s="7" t="s">
        <v>379</v>
      </c>
      <c r="AH19" s="220"/>
      <c r="AI19" s="221"/>
      <c r="AJ19" s="163"/>
    </row>
    <row r="20" spans="1:36" ht="27.75" customHeight="1">
      <c r="A20" s="266" t="s">
        <v>906</v>
      </c>
      <c r="B20" s="186"/>
      <c r="C20" s="6" t="s">
        <v>18</v>
      </c>
      <c r="D20" s="7" t="s">
        <v>730</v>
      </c>
      <c r="E20" s="7" t="s">
        <v>733</v>
      </c>
      <c r="F20" s="7" t="s">
        <v>696</v>
      </c>
      <c r="G20" s="7" t="s">
        <v>761</v>
      </c>
      <c r="H20" s="166" t="s">
        <v>753</v>
      </c>
      <c r="I20" s="47" t="s">
        <v>215</v>
      </c>
      <c r="J20" s="218">
        <v>16</v>
      </c>
      <c r="K20" s="220">
        <v>12</v>
      </c>
      <c r="L20" s="220" t="s">
        <v>757</v>
      </c>
      <c r="M20" s="47">
        <v>4</v>
      </c>
      <c r="N20" s="48" t="s">
        <v>241</v>
      </c>
      <c r="O20" s="249">
        <v>175</v>
      </c>
      <c r="P20" s="34" t="s">
        <v>399</v>
      </c>
      <c r="Q20" s="47" t="s">
        <v>523</v>
      </c>
      <c r="R20" s="220" t="s">
        <v>886</v>
      </c>
      <c r="S20" s="220" t="s">
        <v>275</v>
      </c>
      <c r="T20" s="18" t="e">
        <f>(#REF!-#REF!)/1.2</f>
        <v>#REF!</v>
      </c>
      <c r="U20" s="51" t="e">
        <f>T20*1.2/#REF!</f>
        <v>#REF!</v>
      </c>
      <c r="V20" s="52"/>
      <c r="W20" s="53"/>
      <c r="X20" s="54"/>
      <c r="Y20" s="54"/>
      <c r="Z20" s="54"/>
      <c r="AA20" s="60"/>
      <c r="AB20" s="61"/>
      <c r="AC20" s="62" t="e">
        <f>(AB20/#REF!)-1</f>
        <v>#REF!</v>
      </c>
      <c r="AD20" s="63" t="e">
        <f>AB20-#REF!</f>
        <v>#REF!</v>
      </c>
      <c r="AE20" s="154" t="e">
        <f>1-(#REF!/AB20)</f>
        <v>#REF!</v>
      </c>
      <c r="AF20" s="157" t="s">
        <v>554</v>
      </c>
      <c r="AG20" s="7" t="s">
        <v>380</v>
      </c>
      <c r="AH20" s="220"/>
      <c r="AI20" s="221"/>
      <c r="AJ20" s="163"/>
    </row>
    <row r="21" spans="1:36" ht="27.75" customHeight="1">
      <c r="A21" s="266" t="s">
        <v>907</v>
      </c>
      <c r="B21" s="186"/>
      <c r="C21" s="6" t="s">
        <v>19</v>
      </c>
      <c r="D21" s="7" t="s">
        <v>730</v>
      </c>
      <c r="E21" s="7" t="s">
        <v>733</v>
      </c>
      <c r="F21" s="7" t="s">
        <v>697</v>
      </c>
      <c r="G21" s="7" t="s">
        <v>761</v>
      </c>
      <c r="H21" s="166" t="s">
        <v>753</v>
      </c>
      <c r="I21" s="47" t="s">
        <v>217</v>
      </c>
      <c r="J21" s="218">
        <v>16</v>
      </c>
      <c r="K21" s="220">
        <v>12</v>
      </c>
      <c r="L21" s="220" t="s">
        <v>757</v>
      </c>
      <c r="M21" s="47">
        <v>4</v>
      </c>
      <c r="N21" s="48" t="s">
        <v>241</v>
      </c>
      <c r="O21" s="249">
        <v>190</v>
      </c>
      <c r="P21" s="34" t="s">
        <v>399</v>
      </c>
      <c r="Q21" s="47" t="s">
        <v>523</v>
      </c>
      <c r="R21" s="220" t="s">
        <v>886</v>
      </c>
      <c r="S21" s="220" t="s">
        <v>275</v>
      </c>
      <c r="T21" s="18" t="e">
        <f>(#REF!-#REF!)/1.2</f>
        <v>#REF!</v>
      </c>
      <c r="U21" s="51" t="e">
        <f>T21*1.2/#REF!</f>
        <v>#REF!</v>
      </c>
      <c r="V21" s="52"/>
      <c r="W21" s="53"/>
      <c r="X21" s="54"/>
      <c r="Y21" s="54"/>
      <c r="Z21" s="54"/>
      <c r="AA21" s="60"/>
      <c r="AB21" s="61"/>
      <c r="AC21" s="62" t="e">
        <f>(AB21/#REF!)-1</f>
        <v>#REF!</v>
      </c>
      <c r="AD21" s="63" t="e">
        <f>AB21-#REF!</f>
        <v>#REF!</v>
      </c>
      <c r="AE21" s="154" t="e">
        <f>1-(#REF!/AB21)</f>
        <v>#REF!</v>
      </c>
      <c r="AF21" s="157" t="s">
        <v>555</v>
      </c>
      <c r="AG21" s="7" t="s">
        <v>381</v>
      </c>
      <c r="AH21" s="220"/>
      <c r="AI21" s="221"/>
      <c r="AJ21" s="163"/>
    </row>
    <row r="22" spans="1:36" ht="27.75" customHeight="1">
      <c r="A22" s="266" t="s">
        <v>908</v>
      </c>
      <c r="B22" s="186"/>
      <c r="C22" s="6" t="s">
        <v>20</v>
      </c>
      <c r="D22" s="7" t="s">
        <v>730</v>
      </c>
      <c r="E22" s="7" t="s">
        <v>733</v>
      </c>
      <c r="F22" s="7" t="s">
        <v>698</v>
      </c>
      <c r="G22" s="7" t="s">
        <v>761</v>
      </c>
      <c r="H22" s="166" t="s">
        <v>753</v>
      </c>
      <c r="I22" s="47" t="s">
        <v>219</v>
      </c>
      <c r="J22" s="218">
        <v>16</v>
      </c>
      <c r="K22" s="220">
        <v>12</v>
      </c>
      <c r="L22" s="220" t="s">
        <v>757</v>
      </c>
      <c r="M22" s="47">
        <v>4</v>
      </c>
      <c r="N22" s="48" t="s">
        <v>241</v>
      </c>
      <c r="O22" s="249">
        <v>270</v>
      </c>
      <c r="P22" s="34" t="s">
        <v>399</v>
      </c>
      <c r="Q22" s="47" t="s">
        <v>523</v>
      </c>
      <c r="R22" s="220" t="s">
        <v>886</v>
      </c>
      <c r="S22" s="220" t="s">
        <v>275</v>
      </c>
      <c r="T22" s="18" t="e">
        <f>(#REF!-#REF!)/1.2</f>
        <v>#REF!</v>
      </c>
      <c r="U22" s="51" t="e">
        <f>T22*1.2/#REF!</f>
        <v>#REF!</v>
      </c>
      <c r="V22" s="52"/>
      <c r="W22" s="53"/>
      <c r="X22" s="54"/>
      <c r="Y22" s="54"/>
      <c r="Z22" s="54"/>
      <c r="AA22" s="60"/>
      <c r="AB22" s="61"/>
      <c r="AC22" s="62" t="e">
        <f>(AB22/#REF!)-1</f>
        <v>#REF!</v>
      </c>
      <c r="AD22" s="63" t="e">
        <f>AB22-#REF!</f>
        <v>#REF!</v>
      </c>
      <c r="AE22" s="154" t="e">
        <f>1-(#REF!/AB22)</f>
        <v>#REF!</v>
      </c>
      <c r="AF22" s="157" t="s">
        <v>556</v>
      </c>
      <c r="AG22" s="7" t="s">
        <v>382</v>
      </c>
      <c r="AH22" s="220"/>
      <c r="AI22" s="221"/>
      <c r="AJ22" s="163"/>
    </row>
    <row r="23" spans="1:36" ht="27.75" customHeight="1">
      <c r="A23" s="266" t="s">
        <v>909</v>
      </c>
      <c r="B23" s="186"/>
      <c r="C23" s="6" t="s">
        <v>21</v>
      </c>
      <c r="D23" s="7" t="s">
        <v>730</v>
      </c>
      <c r="E23" s="7" t="s">
        <v>733</v>
      </c>
      <c r="F23" s="7" t="s">
        <v>699</v>
      </c>
      <c r="G23" s="7" t="s">
        <v>761</v>
      </c>
      <c r="H23" s="166" t="s">
        <v>753</v>
      </c>
      <c r="I23" s="47" t="s">
        <v>221</v>
      </c>
      <c r="J23" s="218">
        <v>16</v>
      </c>
      <c r="K23" s="220">
        <v>12</v>
      </c>
      <c r="L23" s="220" t="s">
        <v>757</v>
      </c>
      <c r="M23" s="47">
        <v>4</v>
      </c>
      <c r="N23" s="48" t="s">
        <v>241</v>
      </c>
      <c r="O23" s="249">
        <v>240</v>
      </c>
      <c r="P23" s="34" t="s">
        <v>399</v>
      </c>
      <c r="Q23" s="47" t="s">
        <v>523</v>
      </c>
      <c r="R23" s="220" t="s">
        <v>886</v>
      </c>
      <c r="S23" s="220" t="s">
        <v>275</v>
      </c>
      <c r="T23" s="18" t="e">
        <f>(#REF!-#REF!)/1.2</f>
        <v>#REF!</v>
      </c>
      <c r="U23" s="51" t="e">
        <f>T23*1.2/#REF!</f>
        <v>#REF!</v>
      </c>
      <c r="V23" s="52"/>
      <c r="W23" s="53"/>
      <c r="X23" s="54"/>
      <c r="Y23" s="54"/>
      <c r="Z23" s="54"/>
      <c r="AA23" s="60"/>
      <c r="AB23" s="61"/>
      <c r="AC23" s="62" t="e">
        <f>(AB23/#REF!)-1</f>
        <v>#REF!</v>
      </c>
      <c r="AD23" s="63" t="e">
        <f>AB23-#REF!</f>
        <v>#REF!</v>
      </c>
      <c r="AE23" s="154" t="e">
        <f>1-(#REF!/AB23)</f>
        <v>#REF!</v>
      </c>
      <c r="AF23" s="157" t="s">
        <v>557</v>
      </c>
      <c r="AG23" s="7" t="s">
        <v>383</v>
      </c>
      <c r="AH23" s="220"/>
      <c r="AI23" s="221"/>
      <c r="AJ23" s="163"/>
    </row>
    <row r="24" spans="1:36" ht="27.75" customHeight="1">
      <c r="A24" s="266" t="s">
        <v>910</v>
      </c>
      <c r="B24" s="186"/>
      <c r="C24" s="6" t="s">
        <v>22</v>
      </c>
      <c r="D24" s="7" t="s">
        <v>730</v>
      </c>
      <c r="E24" s="7" t="s">
        <v>733</v>
      </c>
      <c r="F24" s="7" t="s">
        <v>700</v>
      </c>
      <c r="G24" s="7" t="s">
        <v>761</v>
      </c>
      <c r="H24" s="166" t="s">
        <v>753</v>
      </c>
      <c r="I24" s="47" t="s">
        <v>223</v>
      </c>
      <c r="J24" s="218">
        <v>16</v>
      </c>
      <c r="K24" s="220">
        <v>12</v>
      </c>
      <c r="L24" s="220" t="s">
        <v>757</v>
      </c>
      <c r="M24" s="47">
        <v>4</v>
      </c>
      <c r="N24" s="48" t="s">
        <v>241</v>
      </c>
      <c r="O24" s="249">
        <v>350</v>
      </c>
      <c r="P24" s="34" t="s">
        <v>399</v>
      </c>
      <c r="Q24" s="47" t="s">
        <v>523</v>
      </c>
      <c r="R24" s="220" t="s">
        <v>886</v>
      </c>
      <c r="S24" s="220" t="s">
        <v>275</v>
      </c>
      <c r="T24" s="18" t="e">
        <f>(#REF!-#REF!)/1.2</f>
        <v>#REF!</v>
      </c>
      <c r="U24" s="51" t="e">
        <f>T24*1.2/#REF!</f>
        <v>#REF!</v>
      </c>
      <c r="V24" s="52"/>
      <c r="W24" s="53"/>
      <c r="X24" s="54"/>
      <c r="Y24" s="54"/>
      <c r="Z24" s="54"/>
      <c r="AA24" s="60"/>
      <c r="AB24" s="61"/>
      <c r="AC24" s="62" t="e">
        <f>(AB24/#REF!)-1</f>
        <v>#REF!</v>
      </c>
      <c r="AD24" s="63" t="e">
        <f>AB24-#REF!</f>
        <v>#REF!</v>
      </c>
      <c r="AE24" s="154" t="e">
        <f>1-(#REF!/AB24)</f>
        <v>#REF!</v>
      </c>
      <c r="AF24" s="157" t="s">
        <v>558</v>
      </c>
      <c r="AG24" s="7" t="s">
        <v>384</v>
      </c>
      <c r="AH24" s="220"/>
      <c r="AI24" s="221"/>
      <c r="AJ24" s="163"/>
    </row>
    <row r="25" spans="1:36" ht="27.75" customHeight="1" thickBot="1">
      <c r="A25" s="266" t="s">
        <v>911</v>
      </c>
      <c r="B25" s="187"/>
      <c r="C25" s="104" t="s">
        <v>23</v>
      </c>
      <c r="D25" s="105" t="s">
        <v>730</v>
      </c>
      <c r="E25" s="105" t="s">
        <v>733</v>
      </c>
      <c r="F25" s="105" t="s">
        <v>701</v>
      </c>
      <c r="G25" s="105" t="s">
        <v>761</v>
      </c>
      <c r="H25" s="106" t="s">
        <v>753</v>
      </c>
      <c r="I25" s="106" t="s">
        <v>225</v>
      </c>
      <c r="J25" s="106">
        <v>16</v>
      </c>
      <c r="K25" s="226">
        <v>12</v>
      </c>
      <c r="L25" s="226" t="s">
        <v>757</v>
      </c>
      <c r="M25" s="106">
        <v>6</v>
      </c>
      <c r="N25" s="107" t="s">
        <v>241</v>
      </c>
      <c r="O25" s="250">
        <v>545</v>
      </c>
      <c r="P25" s="109" t="s">
        <v>399</v>
      </c>
      <c r="Q25" s="106" t="s">
        <v>523</v>
      </c>
      <c r="R25" s="226" t="s">
        <v>886</v>
      </c>
      <c r="S25" s="226" t="s">
        <v>275</v>
      </c>
      <c r="T25" s="110" t="e">
        <f>(#REF!-#REF!)/1.2</f>
        <v>#REF!</v>
      </c>
      <c r="U25" s="111" t="e">
        <f>T25*1.2/#REF!</f>
        <v>#REF!</v>
      </c>
      <c r="V25" s="112"/>
      <c r="W25" s="113"/>
      <c r="X25" s="115"/>
      <c r="Y25" s="115"/>
      <c r="Z25" s="115"/>
      <c r="AA25" s="121"/>
      <c r="AB25" s="122"/>
      <c r="AC25" s="118" t="e">
        <f>(AB25/#REF!)-1</f>
        <v>#REF!</v>
      </c>
      <c r="AD25" s="117" t="e">
        <f>AB25-#REF!</f>
        <v>#REF!</v>
      </c>
      <c r="AE25" s="155" t="e">
        <f>1-(#REF!/AB25)</f>
        <v>#REF!</v>
      </c>
      <c r="AF25" s="157" t="s">
        <v>559</v>
      </c>
      <c r="AG25" s="105" t="s">
        <v>385</v>
      </c>
      <c r="AH25" s="226"/>
      <c r="AI25" s="227"/>
      <c r="AJ25" s="163"/>
    </row>
    <row r="26" spans="1:36" ht="27" customHeight="1">
      <c r="A26" s="266" t="s">
        <v>912</v>
      </c>
      <c r="B26" s="188"/>
      <c r="C26" s="89" t="s">
        <v>24</v>
      </c>
      <c r="D26" s="90" t="s">
        <v>730</v>
      </c>
      <c r="E26" s="90" t="s">
        <v>734</v>
      </c>
      <c r="F26" s="90" t="s">
        <v>702</v>
      </c>
      <c r="G26" s="90" t="s">
        <v>762</v>
      </c>
      <c r="H26" s="91" t="s">
        <v>753</v>
      </c>
      <c r="I26" s="91" t="s">
        <v>211</v>
      </c>
      <c r="J26" s="91">
        <v>16</v>
      </c>
      <c r="K26" s="224">
        <v>12</v>
      </c>
      <c r="L26" s="224" t="s">
        <v>757</v>
      </c>
      <c r="M26" s="91">
        <v>4</v>
      </c>
      <c r="N26" s="92" t="s">
        <v>241</v>
      </c>
      <c r="O26" s="261">
        <v>75</v>
      </c>
      <c r="P26" s="94" t="s">
        <v>399</v>
      </c>
      <c r="Q26" s="91" t="s">
        <v>523</v>
      </c>
      <c r="R26" s="224" t="s">
        <v>886</v>
      </c>
      <c r="S26" s="224" t="s">
        <v>751</v>
      </c>
      <c r="T26" s="95" t="e">
        <f>(#REF!-#REF!)/1.2</f>
        <v>#REF!</v>
      </c>
      <c r="U26" s="96" t="e">
        <f>T26*1.2/#REF!</f>
        <v>#REF!</v>
      </c>
      <c r="V26" s="97">
        <v>2109.36</v>
      </c>
      <c r="W26" s="98" t="e">
        <f>V26*#REF!</f>
        <v>#REF!</v>
      </c>
      <c r="X26" s="99" t="e">
        <f>(W26/#REF!)-1</f>
        <v>#REF!</v>
      </c>
      <c r="Y26" s="100" t="e">
        <f>W26-#REF!</f>
        <v>#REF!</v>
      </c>
      <c r="Z26" s="99" t="e">
        <f>1-(#REF!/W26)</f>
        <v>#REF!</v>
      </c>
      <c r="AA26" s="101">
        <v>2425.7600000000002</v>
      </c>
      <c r="AB26" s="102" t="e">
        <f>AA26*#REF!</f>
        <v>#REF!</v>
      </c>
      <c r="AC26" s="103" t="e">
        <f>(AB26/#REF!)-1</f>
        <v>#REF!</v>
      </c>
      <c r="AD26" s="102" t="e">
        <f>AB26-#REF!</f>
        <v>#REF!</v>
      </c>
      <c r="AE26" s="153" t="e">
        <f>1-(#REF!/AB26)</f>
        <v>#REF!</v>
      </c>
      <c r="AF26" s="157" t="s">
        <v>560</v>
      </c>
      <c r="AG26" s="90" t="s">
        <v>386</v>
      </c>
      <c r="AH26" s="224" t="s">
        <v>362</v>
      </c>
      <c r="AI26" s="224" t="s">
        <v>331</v>
      </c>
      <c r="AJ26" s="163"/>
    </row>
    <row r="27" spans="1:36" ht="27" customHeight="1">
      <c r="A27" s="266" t="s">
        <v>913</v>
      </c>
      <c r="B27" s="189"/>
      <c r="C27" s="6" t="s">
        <v>25</v>
      </c>
      <c r="D27" s="7" t="s">
        <v>730</v>
      </c>
      <c r="E27" s="7" t="s">
        <v>734</v>
      </c>
      <c r="F27" s="7" t="s">
        <v>703</v>
      </c>
      <c r="G27" s="7" t="s">
        <v>762</v>
      </c>
      <c r="H27" s="166" t="s">
        <v>753</v>
      </c>
      <c r="I27" s="47" t="s">
        <v>213</v>
      </c>
      <c r="J27" s="218">
        <v>16</v>
      </c>
      <c r="K27" s="220">
        <v>12</v>
      </c>
      <c r="L27" s="220" t="s">
        <v>757</v>
      </c>
      <c r="M27" s="47">
        <v>4</v>
      </c>
      <c r="N27" s="48" t="s">
        <v>241</v>
      </c>
      <c r="O27" s="249">
        <v>130</v>
      </c>
      <c r="P27" s="34" t="s">
        <v>399</v>
      </c>
      <c r="Q27" s="47" t="s">
        <v>523</v>
      </c>
      <c r="R27" s="220" t="s">
        <v>886</v>
      </c>
      <c r="S27" s="220" t="s">
        <v>751</v>
      </c>
      <c r="T27" s="18" t="e">
        <f>(#REF!-#REF!)/1.2</f>
        <v>#REF!</v>
      </c>
      <c r="U27" s="51" t="e">
        <f>T27*1.2/#REF!</f>
        <v>#REF!</v>
      </c>
      <c r="V27" s="52">
        <v>2951.52</v>
      </c>
      <c r="W27" s="53" t="e">
        <f>V27*#REF!</f>
        <v>#REF!</v>
      </c>
      <c r="X27" s="55" t="e">
        <f>(W27/#REF!)-1</f>
        <v>#REF!</v>
      </c>
      <c r="Y27" s="54" t="e">
        <f>W27-#REF!</f>
        <v>#REF!</v>
      </c>
      <c r="Z27" s="55" t="e">
        <f>1-(#REF!/W27)</f>
        <v>#REF!</v>
      </c>
      <c r="AA27" s="64">
        <v>3394.25</v>
      </c>
      <c r="AB27" s="63" t="e">
        <f>AA27*#REF!</f>
        <v>#REF!</v>
      </c>
      <c r="AC27" s="62" t="e">
        <f>(AB27/#REF!)-1</f>
        <v>#REF!</v>
      </c>
      <c r="AD27" s="63" t="e">
        <f>AB27-#REF!</f>
        <v>#REF!</v>
      </c>
      <c r="AE27" s="154" t="e">
        <f>1-(#REF!/AB27)</f>
        <v>#REF!</v>
      </c>
      <c r="AF27" s="157" t="s">
        <v>561</v>
      </c>
      <c r="AG27" s="7" t="s">
        <v>387</v>
      </c>
      <c r="AH27" s="220" t="s">
        <v>363</v>
      </c>
      <c r="AI27" s="220" t="s">
        <v>332</v>
      </c>
      <c r="AJ27" s="163"/>
    </row>
    <row r="28" spans="1:36" ht="27" customHeight="1">
      <c r="A28" s="266" t="s">
        <v>914</v>
      </c>
      <c r="B28" s="189"/>
      <c r="C28" s="6" t="s">
        <v>26</v>
      </c>
      <c r="D28" s="7" t="s">
        <v>730</v>
      </c>
      <c r="E28" s="7" t="s">
        <v>734</v>
      </c>
      <c r="F28" s="7" t="s">
        <v>704</v>
      </c>
      <c r="G28" s="7" t="s">
        <v>762</v>
      </c>
      <c r="H28" s="166" t="s">
        <v>753</v>
      </c>
      <c r="I28" s="47" t="s">
        <v>215</v>
      </c>
      <c r="J28" s="218">
        <v>16</v>
      </c>
      <c r="K28" s="220">
        <v>12</v>
      </c>
      <c r="L28" s="220" t="s">
        <v>757</v>
      </c>
      <c r="M28" s="47">
        <v>4</v>
      </c>
      <c r="N28" s="48" t="s">
        <v>241</v>
      </c>
      <c r="O28" s="249">
        <v>175</v>
      </c>
      <c r="P28" s="34" t="s">
        <v>399</v>
      </c>
      <c r="Q28" s="47" t="s">
        <v>523</v>
      </c>
      <c r="R28" s="220" t="s">
        <v>886</v>
      </c>
      <c r="S28" s="220" t="s">
        <v>751</v>
      </c>
      <c r="T28" s="18" t="e">
        <f>(#REF!-#REF!)/1.2</f>
        <v>#REF!</v>
      </c>
      <c r="U28" s="51" t="e">
        <f>T28*1.2/#REF!</f>
        <v>#REF!</v>
      </c>
      <c r="V28" s="52">
        <v>3402.96</v>
      </c>
      <c r="W28" s="53" t="e">
        <f>V28*#REF!</f>
        <v>#REF!</v>
      </c>
      <c r="X28" s="55" t="e">
        <f>(W28/#REF!)-1</f>
        <v>#REF!</v>
      </c>
      <c r="Y28" s="54" t="e">
        <f>W28-#REF!</f>
        <v>#REF!</v>
      </c>
      <c r="Z28" s="55" t="e">
        <f>1-(#REF!/W28)</f>
        <v>#REF!</v>
      </c>
      <c r="AA28" s="64">
        <v>3913.4</v>
      </c>
      <c r="AB28" s="63" t="e">
        <f>AA28*#REF!</f>
        <v>#REF!</v>
      </c>
      <c r="AC28" s="62" t="e">
        <f>(AB28/#REF!)-1</f>
        <v>#REF!</v>
      </c>
      <c r="AD28" s="63" t="e">
        <f>AB28-#REF!</f>
        <v>#REF!</v>
      </c>
      <c r="AE28" s="154" t="e">
        <f>1-(#REF!/AB28)</f>
        <v>#REF!</v>
      </c>
      <c r="AF28" s="157" t="s">
        <v>562</v>
      </c>
      <c r="AG28" s="7" t="s">
        <v>388</v>
      </c>
      <c r="AH28" s="220" t="s">
        <v>364</v>
      </c>
      <c r="AI28" s="220" t="s">
        <v>326</v>
      </c>
      <c r="AJ28" s="163"/>
    </row>
    <row r="29" spans="1:36" ht="27" customHeight="1">
      <c r="A29" s="266" t="s">
        <v>915</v>
      </c>
      <c r="B29" s="189"/>
      <c r="C29" s="6" t="s">
        <v>27</v>
      </c>
      <c r="D29" s="7" t="s">
        <v>730</v>
      </c>
      <c r="E29" s="7" t="s">
        <v>734</v>
      </c>
      <c r="F29" s="7" t="s">
        <v>705</v>
      </c>
      <c r="G29" s="7" t="s">
        <v>762</v>
      </c>
      <c r="H29" s="166" t="s">
        <v>753</v>
      </c>
      <c r="I29" s="47" t="s">
        <v>217</v>
      </c>
      <c r="J29" s="218">
        <v>16</v>
      </c>
      <c r="K29" s="220">
        <v>12</v>
      </c>
      <c r="L29" s="220" t="s">
        <v>757</v>
      </c>
      <c r="M29" s="47">
        <v>4</v>
      </c>
      <c r="N29" s="48" t="s">
        <v>241</v>
      </c>
      <c r="O29" s="249">
        <v>190</v>
      </c>
      <c r="P29" s="34" t="s">
        <v>399</v>
      </c>
      <c r="Q29" s="47" t="s">
        <v>523</v>
      </c>
      <c r="R29" s="220" t="s">
        <v>886</v>
      </c>
      <c r="S29" s="220" t="s">
        <v>751</v>
      </c>
      <c r="T29" s="18" t="e">
        <f>(#REF!-#REF!)/1.2</f>
        <v>#REF!</v>
      </c>
      <c r="U29" s="51" t="e">
        <f>T29*1.2/#REF!</f>
        <v>#REF!</v>
      </c>
      <c r="V29" s="52">
        <v>3637.92</v>
      </c>
      <c r="W29" s="53" t="e">
        <f>V29*#REF!</f>
        <v>#REF!</v>
      </c>
      <c r="X29" s="55" t="e">
        <f>(W29/#REF!)-1</f>
        <v>#REF!</v>
      </c>
      <c r="Y29" s="54" t="e">
        <f>W29-#REF!</f>
        <v>#REF!</v>
      </c>
      <c r="Z29" s="55" t="e">
        <f>1-(#REF!/W29)</f>
        <v>#REF!</v>
      </c>
      <c r="AA29" s="64">
        <v>4183.6099999999997</v>
      </c>
      <c r="AB29" s="63" t="e">
        <f>AA29*#REF!</f>
        <v>#REF!</v>
      </c>
      <c r="AC29" s="62" t="e">
        <f>(AB29/#REF!)-1</f>
        <v>#REF!</v>
      </c>
      <c r="AD29" s="63" t="e">
        <f>AB29-#REF!</f>
        <v>#REF!</v>
      </c>
      <c r="AE29" s="154" t="e">
        <f>1-(#REF!/AB29)</f>
        <v>#REF!</v>
      </c>
      <c r="AF29" s="157" t="s">
        <v>563</v>
      </c>
      <c r="AG29" s="7" t="s">
        <v>389</v>
      </c>
      <c r="AH29" s="220" t="s">
        <v>365</v>
      </c>
      <c r="AI29" s="220" t="s">
        <v>327</v>
      </c>
      <c r="AJ29" s="163"/>
    </row>
    <row r="30" spans="1:36" ht="27" customHeight="1">
      <c r="A30" s="266" t="s">
        <v>916</v>
      </c>
      <c r="B30" s="189"/>
      <c r="C30" s="6" t="s">
        <v>28</v>
      </c>
      <c r="D30" s="7" t="s">
        <v>730</v>
      </c>
      <c r="E30" s="7" t="s">
        <v>734</v>
      </c>
      <c r="F30" s="7" t="s">
        <v>706</v>
      </c>
      <c r="G30" s="7" t="s">
        <v>762</v>
      </c>
      <c r="H30" s="166" t="s">
        <v>753</v>
      </c>
      <c r="I30" s="47" t="s">
        <v>219</v>
      </c>
      <c r="J30" s="218">
        <v>16</v>
      </c>
      <c r="K30" s="220">
        <v>12</v>
      </c>
      <c r="L30" s="220" t="s">
        <v>757</v>
      </c>
      <c r="M30" s="47">
        <v>4</v>
      </c>
      <c r="N30" s="48" t="s">
        <v>241</v>
      </c>
      <c r="O30" s="249">
        <v>270</v>
      </c>
      <c r="P30" s="34" t="s">
        <v>399</v>
      </c>
      <c r="Q30" s="47" t="s">
        <v>523</v>
      </c>
      <c r="R30" s="220" t="s">
        <v>886</v>
      </c>
      <c r="S30" s="220" t="s">
        <v>751</v>
      </c>
      <c r="T30" s="18" t="e">
        <f>(#REF!-#REF!)/1.2</f>
        <v>#REF!</v>
      </c>
      <c r="U30" s="51" t="e">
        <f>T30*1.2/#REF!</f>
        <v>#REF!</v>
      </c>
      <c r="V30" s="52">
        <v>5827.8</v>
      </c>
      <c r="W30" s="53" t="e">
        <f>V30*#REF!</f>
        <v>#REF!</v>
      </c>
      <c r="X30" s="55" t="e">
        <f>(W30/#REF!)-1</f>
        <v>#REF!</v>
      </c>
      <c r="Y30" s="54" t="e">
        <f>W30-#REF!</f>
        <v>#REF!</v>
      </c>
      <c r="Z30" s="55" t="e">
        <f>1-(#REF!/W30)</f>
        <v>#REF!</v>
      </c>
      <c r="AA30" s="64">
        <v>6701.97</v>
      </c>
      <c r="AB30" s="63" t="e">
        <f>AA30*#REF!</f>
        <v>#REF!</v>
      </c>
      <c r="AC30" s="62" t="e">
        <f>(AB30/#REF!)-1</f>
        <v>#REF!</v>
      </c>
      <c r="AD30" s="63" t="e">
        <f>AB30-#REF!</f>
        <v>#REF!</v>
      </c>
      <c r="AE30" s="154" t="e">
        <f>1-(#REF!/AB30)</f>
        <v>#REF!</v>
      </c>
      <c r="AF30" s="157" t="s">
        <v>564</v>
      </c>
      <c r="AG30" s="7" t="s">
        <v>390</v>
      </c>
      <c r="AH30" s="220" t="s">
        <v>366</v>
      </c>
      <c r="AI30" s="220" t="s">
        <v>333</v>
      </c>
      <c r="AJ30" s="163"/>
    </row>
    <row r="31" spans="1:36" ht="27" customHeight="1">
      <c r="A31" s="266" t="s">
        <v>917</v>
      </c>
      <c r="B31" s="189"/>
      <c r="C31" s="6" t="s">
        <v>29</v>
      </c>
      <c r="D31" s="7" t="s">
        <v>730</v>
      </c>
      <c r="E31" s="7" t="s">
        <v>734</v>
      </c>
      <c r="F31" s="7" t="s">
        <v>707</v>
      </c>
      <c r="G31" s="7" t="s">
        <v>762</v>
      </c>
      <c r="H31" s="166" t="s">
        <v>753</v>
      </c>
      <c r="I31" s="47" t="s">
        <v>221</v>
      </c>
      <c r="J31" s="218">
        <v>16</v>
      </c>
      <c r="K31" s="220">
        <v>12</v>
      </c>
      <c r="L31" s="220" t="s">
        <v>757</v>
      </c>
      <c r="M31" s="47">
        <v>4</v>
      </c>
      <c r="N31" s="48" t="s">
        <v>241</v>
      </c>
      <c r="O31" s="249">
        <v>240</v>
      </c>
      <c r="P31" s="34" t="s">
        <v>399</v>
      </c>
      <c r="Q31" s="47" t="s">
        <v>523</v>
      </c>
      <c r="R31" s="220" t="s">
        <v>886</v>
      </c>
      <c r="S31" s="220" t="s">
        <v>751</v>
      </c>
      <c r="T31" s="18" t="e">
        <f>(#REF!-#REF!)/1.2</f>
        <v>#REF!</v>
      </c>
      <c r="U31" s="51" t="e">
        <f>T31*1.2/#REF!</f>
        <v>#REF!</v>
      </c>
      <c r="V31" s="52">
        <v>5014.68</v>
      </c>
      <c r="W31" s="53" t="e">
        <f>V31*#REF!</f>
        <v>#REF!</v>
      </c>
      <c r="X31" s="55" t="e">
        <f>(W31/#REF!)-1</f>
        <v>#REF!</v>
      </c>
      <c r="Y31" s="54" t="e">
        <f>W31-#REF!</f>
        <v>#REF!</v>
      </c>
      <c r="Z31" s="55" t="e">
        <f>1-(#REF!/W31)</f>
        <v>#REF!</v>
      </c>
      <c r="AA31" s="64">
        <v>5766.88</v>
      </c>
      <c r="AB31" s="63" t="e">
        <f>AA31*#REF!</f>
        <v>#REF!</v>
      </c>
      <c r="AC31" s="62" t="e">
        <f>(AB31/#REF!)-1</f>
        <v>#REF!</v>
      </c>
      <c r="AD31" s="63" t="e">
        <f>AB31-#REF!</f>
        <v>#REF!</v>
      </c>
      <c r="AE31" s="154" t="e">
        <f>1-(#REF!/AB31)</f>
        <v>#REF!</v>
      </c>
      <c r="AF31" s="157" t="s">
        <v>565</v>
      </c>
      <c r="AG31" s="7" t="s">
        <v>391</v>
      </c>
      <c r="AH31" s="220" t="s">
        <v>367</v>
      </c>
      <c r="AI31" s="220" t="s">
        <v>328</v>
      </c>
      <c r="AJ31" s="163"/>
    </row>
    <row r="32" spans="1:36" ht="27" customHeight="1">
      <c r="A32" s="266" t="s">
        <v>918</v>
      </c>
      <c r="B32" s="189"/>
      <c r="C32" s="6" t="s">
        <v>30</v>
      </c>
      <c r="D32" s="7" t="s">
        <v>730</v>
      </c>
      <c r="E32" s="7" t="s">
        <v>734</v>
      </c>
      <c r="F32" s="7" t="s">
        <v>708</v>
      </c>
      <c r="G32" s="7" t="s">
        <v>762</v>
      </c>
      <c r="H32" s="166" t="s">
        <v>753</v>
      </c>
      <c r="I32" s="47" t="s">
        <v>223</v>
      </c>
      <c r="J32" s="218">
        <v>16</v>
      </c>
      <c r="K32" s="220">
        <v>12</v>
      </c>
      <c r="L32" s="220" t="s">
        <v>757</v>
      </c>
      <c r="M32" s="47">
        <v>4</v>
      </c>
      <c r="N32" s="48" t="s">
        <v>241</v>
      </c>
      <c r="O32" s="249">
        <v>350</v>
      </c>
      <c r="P32" s="34" t="s">
        <v>399</v>
      </c>
      <c r="Q32" s="47" t="s">
        <v>523</v>
      </c>
      <c r="R32" s="220" t="s">
        <v>886</v>
      </c>
      <c r="S32" s="220" t="s">
        <v>751</v>
      </c>
      <c r="T32" s="18" t="e">
        <f>(#REF!-#REF!)/1.2</f>
        <v>#REF!</v>
      </c>
      <c r="U32" s="51" t="e">
        <f>T32*1.2/#REF!</f>
        <v>#REF!</v>
      </c>
      <c r="V32" s="52">
        <v>6807.24</v>
      </c>
      <c r="W32" s="53" t="e">
        <f>V32*#REF!</f>
        <v>#REF!</v>
      </c>
      <c r="X32" s="55" t="e">
        <f>(W32/#REF!)-1</f>
        <v>#REF!</v>
      </c>
      <c r="Y32" s="54" t="e">
        <f>W32-#REF!</f>
        <v>#REF!</v>
      </c>
      <c r="Z32" s="55" t="e">
        <f>1-(#REF!/W32)</f>
        <v>#REF!</v>
      </c>
      <c r="AA32" s="64">
        <v>7828.33</v>
      </c>
      <c r="AB32" s="63" t="e">
        <f>AA32*#REF!</f>
        <v>#REF!</v>
      </c>
      <c r="AC32" s="62" t="e">
        <f>(AB32/#REF!)-1</f>
        <v>#REF!</v>
      </c>
      <c r="AD32" s="63" t="e">
        <f>AB32-#REF!</f>
        <v>#REF!</v>
      </c>
      <c r="AE32" s="154" t="e">
        <f>1-(#REF!/AB32)</f>
        <v>#REF!</v>
      </c>
      <c r="AF32" s="157" t="s">
        <v>566</v>
      </c>
      <c r="AG32" s="7" t="s">
        <v>392</v>
      </c>
      <c r="AH32" s="220" t="s">
        <v>368</v>
      </c>
      <c r="AI32" s="220" t="s">
        <v>329</v>
      </c>
      <c r="AJ32" s="163"/>
    </row>
    <row r="33" spans="1:36" ht="27" customHeight="1" thickBot="1">
      <c r="A33" s="266" t="s">
        <v>919</v>
      </c>
      <c r="B33" s="190"/>
      <c r="C33" s="104" t="s">
        <v>31</v>
      </c>
      <c r="D33" s="105" t="s">
        <v>730</v>
      </c>
      <c r="E33" s="105" t="s">
        <v>734</v>
      </c>
      <c r="F33" s="105" t="s">
        <v>709</v>
      </c>
      <c r="G33" s="105" t="s">
        <v>762</v>
      </c>
      <c r="H33" s="106" t="s">
        <v>753</v>
      </c>
      <c r="I33" s="106" t="s">
        <v>225</v>
      </c>
      <c r="J33" s="106">
        <v>16</v>
      </c>
      <c r="K33" s="226">
        <v>12</v>
      </c>
      <c r="L33" s="226" t="s">
        <v>757</v>
      </c>
      <c r="M33" s="106">
        <v>6</v>
      </c>
      <c r="N33" s="107" t="s">
        <v>241</v>
      </c>
      <c r="O33" s="250">
        <v>545</v>
      </c>
      <c r="P33" s="109" t="s">
        <v>399</v>
      </c>
      <c r="Q33" s="106" t="s">
        <v>523</v>
      </c>
      <c r="R33" s="226" t="s">
        <v>886</v>
      </c>
      <c r="S33" s="226" t="s">
        <v>751</v>
      </c>
      <c r="T33" s="110" t="e">
        <f>(#REF!-#REF!)/1.2</f>
        <v>#REF!</v>
      </c>
      <c r="U33" s="111" t="e">
        <f>T33*1.2/#REF!</f>
        <v>#REF!</v>
      </c>
      <c r="V33" s="112">
        <v>9185.8799999999992</v>
      </c>
      <c r="W33" s="113" t="e">
        <f>V33*#REF!</f>
        <v>#REF!</v>
      </c>
      <c r="X33" s="114" t="e">
        <f>(W33/#REF!)-1</f>
        <v>#REF!</v>
      </c>
      <c r="Y33" s="115" t="e">
        <f>W33-#REF!</f>
        <v>#REF!</v>
      </c>
      <c r="Z33" s="114" t="e">
        <f>1-(#REF!/W33)</f>
        <v>#REF!</v>
      </c>
      <c r="AA33" s="116">
        <v>10563.76</v>
      </c>
      <c r="AB33" s="117" t="e">
        <f>AA33*#REF!</f>
        <v>#REF!</v>
      </c>
      <c r="AC33" s="118" t="e">
        <f>(AB33/#REF!)-1</f>
        <v>#REF!</v>
      </c>
      <c r="AD33" s="117" t="e">
        <f>AB33-#REF!</f>
        <v>#REF!</v>
      </c>
      <c r="AE33" s="155" t="e">
        <f>1-(#REF!/AB33)</f>
        <v>#REF!</v>
      </c>
      <c r="AF33" s="157" t="s">
        <v>567</v>
      </c>
      <c r="AG33" s="105" t="s">
        <v>393</v>
      </c>
      <c r="AH33" s="226" t="s">
        <v>369</v>
      </c>
      <c r="AI33" s="226" t="s">
        <v>330</v>
      </c>
      <c r="AJ33" s="163"/>
    </row>
    <row r="34" spans="1:36" ht="35.1" customHeight="1" thickBot="1">
      <c r="A34" s="266" t="s">
        <v>920</v>
      </c>
      <c r="B34" s="191" t="s">
        <v>901</v>
      </c>
      <c r="C34" s="89" t="s">
        <v>32</v>
      </c>
      <c r="D34" s="90" t="s">
        <v>735</v>
      </c>
      <c r="E34" s="90" t="s">
        <v>212</v>
      </c>
      <c r="F34" s="90" t="s">
        <v>710</v>
      </c>
      <c r="G34" s="90" t="s">
        <v>763</v>
      </c>
      <c r="H34" s="91" t="s">
        <v>753</v>
      </c>
      <c r="I34" s="91" t="s">
        <v>531</v>
      </c>
      <c r="J34" s="91">
        <v>16</v>
      </c>
      <c r="K34" s="224">
        <v>12</v>
      </c>
      <c r="L34" s="224" t="s">
        <v>757</v>
      </c>
      <c r="M34" s="91"/>
      <c r="N34" s="92" t="s">
        <v>241</v>
      </c>
      <c r="O34" s="261">
        <v>98</v>
      </c>
      <c r="P34" s="94" t="s">
        <v>398</v>
      </c>
      <c r="Q34" s="91" t="s">
        <v>361</v>
      </c>
      <c r="R34" s="224"/>
      <c r="S34" s="224"/>
      <c r="T34" s="95" t="e">
        <f>(#REF!-#REF!)/1.2</f>
        <v>#REF!</v>
      </c>
      <c r="U34" s="96" t="e">
        <f>T34*1.2/#REF!</f>
        <v>#REF!</v>
      </c>
      <c r="V34" s="97">
        <v>4386.3599999999997</v>
      </c>
      <c r="W34" s="98" t="e">
        <f>V34*#REF!</f>
        <v>#REF!</v>
      </c>
      <c r="X34" s="99" t="e">
        <f>(W34/#REF!)-1</f>
        <v>#REF!</v>
      </c>
      <c r="Y34" s="100" t="e">
        <f>W34-#REF!</f>
        <v>#REF!</v>
      </c>
      <c r="Z34" s="99" t="e">
        <f>1-(#REF!/W34)</f>
        <v>#REF!</v>
      </c>
      <c r="AA34" s="101">
        <v>6009.31</v>
      </c>
      <c r="AB34" s="102" t="e">
        <f>AA34*#REF!</f>
        <v>#REF!</v>
      </c>
      <c r="AC34" s="103" t="e">
        <f>(AB34/#REF!)-1</f>
        <v>#REF!</v>
      </c>
      <c r="AD34" s="102" t="e">
        <f>AB34-#REF!</f>
        <v>#REF!</v>
      </c>
      <c r="AE34" s="153" t="e">
        <f>1-(#REF!/AB34)</f>
        <v>#REF!</v>
      </c>
      <c r="AF34" s="157" t="s">
        <v>568</v>
      </c>
      <c r="AG34" s="90" t="s">
        <v>341</v>
      </c>
      <c r="AH34" s="224" t="s">
        <v>400</v>
      </c>
      <c r="AI34" s="224"/>
      <c r="AJ34" s="163"/>
    </row>
    <row r="35" spans="1:36" ht="35.1" customHeight="1" thickBot="1">
      <c r="A35" s="266" t="s">
        <v>920</v>
      </c>
      <c r="B35" s="191" t="s">
        <v>901</v>
      </c>
      <c r="C35" s="6" t="s">
        <v>33</v>
      </c>
      <c r="D35" s="7" t="s">
        <v>735</v>
      </c>
      <c r="E35" s="7" t="s">
        <v>212</v>
      </c>
      <c r="F35" s="7" t="s">
        <v>711</v>
      </c>
      <c r="G35" s="7" t="s">
        <v>763</v>
      </c>
      <c r="H35" s="166" t="s">
        <v>753</v>
      </c>
      <c r="I35" s="47" t="s">
        <v>532</v>
      </c>
      <c r="J35" s="218">
        <v>16</v>
      </c>
      <c r="K35" s="220">
        <v>12</v>
      </c>
      <c r="L35" s="220" t="s">
        <v>757</v>
      </c>
      <c r="M35" s="47"/>
      <c r="N35" s="48" t="s">
        <v>241</v>
      </c>
      <c r="O35" s="249">
        <v>135</v>
      </c>
      <c r="P35" s="34" t="s">
        <v>398</v>
      </c>
      <c r="Q35" s="47" t="s">
        <v>361</v>
      </c>
      <c r="R35" s="220"/>
      <c r="S35" s="220"/>
      <c r="T35" s="18" t="e">
        <f>(#REF!-#REF!)/1.2</f>
        <v>#REF!</v>
      </c>
      <c r="U35" s="51" t="e">
        <f>T35*1.2/#REF!</f>
        <v>#REF!</v>
      </c>
      <c r="V35" s="52">
        <v>6468</v>
      </c>
      <c r="W35" s="53" t="e">
        <f>V35*#REF!</f>
        <v>#REF!</v>
      </c>
      <c r="X35" s="55" t="e">
        <f>(W35/#REF!)-1</f>
        <v>#REF!</v>
      </c>
      <c r="Y35" s="54" t="e">
        <f>W35-#REF!</f>
        <v>#REF!</v>
      </c>
      <c r="Z35" s="55" t="e">
        <f>1-(#REF!/W35)</f>
        <v>#REF!</v>
      </c>
      <c r="AA35" s="64">
        <v>8861.16</v>
      </c>
      <c r="AB35" s="63" t="e">
        <f>AA35*#REF!</f>
        <v>#REF!</v>
      </c>
      <c r="AC35" s="62" t="e">
        <f>(AB35/#REF!)-1</f>
        <v>#REF!</v>
      </c>
      <c r="AD35" s="63" t="e">
        <f>AB35-#REF!</f>
        <v>#REF!</v>
      </c>
      <c r="AE35" s="154" t="e">
        <f>1-(#REF!/AB35)</f>
        <v>#REF!</v>
      </c>
      <c r="AF35" s="157" t="s">
        <v>569</v>
      </c>
      <c r="AG35" s="7" t="s">
        <v>342</v>
      </c>
      <c r="AH35" s="220" t="s">
        <v>401</v>
      </c>
      <c r="AI35" s="220"/>
      <c r="AJ35" s="163"/>
    </row>
    <row r="36" spans="1:36" ht="35.1" customHeight="1" thickBot="1">
      <c r="A36" s="266" t="s">
        <v>920</v>
      </c>
      <c r="B36" s="191" t="s">
        <v>901</v>
      </c>
      <c r="C36" s="6" t="s">
        <v>34</v>
      </c>
      <c r="D36" s="7" t="s">
        <v>735</v>
      </c>
      <c r="E36" s="7" t="s">
        <v>212</v>
      </c>
      <c r="F36" s="7" t="s">
        <v>712</v>
      </c>
      <c r="G36" s="7" t="s">
        <v>763</v>
      </c>
      <c r="H36" s="166" t="s">
        <v>753</v>
      </c>
      <c r="I36" s="47" t="s">
        <v>533</v>
      </c>
      <c r="J36" s="218">
        <v>16</v>
      </c>
      <c r="K36" s="220">
        <v>12</v>
      </c>
      <c r="L36" s="220" t="s">
        <v>757</v>
      </c>
      <c r="M36" s="47"/>
      <c r="N36" s="48" t="s">
        <v>241</v>
      </c>
      <c r="O36" s="249">
        <v>175</v>
      </c>
      <c r="P36" s="34" t="s">
        <v>398</v>
      </c>
      <c r="Q36" s="47" t="s">
        <v>361</v>
      </c>
      <c r="R36" s="220"/>
      <c r="S36" s="220"/>
      <c r="T36" s="18" t="e">
        <f>(#REF!-#REF!)/1.2</f>
        <v>#REF!</v>
      </c>
      <c r="U36" s="51" t="e">
        <f>T36*1.2/#REF!</f>
        <v>#REF!</v>
      </c>
      <c r="V36" s="52">
        <v>7737.84</v>
      </c>
      <c r="W36" s="53" t="e">
        <f>V36*#REF!</f>
        <v>#REF!</v>
      </c>
      <c r="X36" s="55" t="e">
        <f>(W36/#REF!)-1</f>
        <v>#REF!</v>
      </c>
      <c r="Y36" s="54" t="e">
        <f>W36-#REF!</f>
        <v>#REF!</v>
      </c>
      <c r="Z36" s="55" t="e">
        <f>1-(#REF!/W36)</f>
        <v>#REF!</v>
      </c>
      <c r="AA36" s="64">
        <v>10600.84</v>
      </c>
      <c r="AB36" s="63" t="e">
        <f>AA36*#REF!</f>
        <v>#REF!</v>
      </c>
      <c r="AC36" s="62" t="e">
        <f>(AB36/#REF!)-1</f>
        <v>#REF!</v>
      </c>
      <c r="AD36" s="63" t="e">
        <f>AB36-#REF!</f>
        <v>#REF!</v>
      </c>
      <c r="AE36" s="154" t="e">
        <f>1-(#REF!/AB36)</f>
        <v>#REF!</v>
      </c>
      <c r="AF36" s="157" t="s">
        <v>570</v>
      </c>
      <c r="AG36" s="7" t="s">
        <v>343</v>
      </c>
      <c r="AH36" s="220" t="s">
        <v>402</v>
      </c>
      <c r="AI36" s="220"/>
      <c r="AJ36" s="163"/>
    </row>
    <row r="37" spans="1:36" ht="35.1" customHeight="1" thickBot="1">
      <c r="A37" s="266" t="s">
        <v>920</v>
      </c>
      <c r="B37" s="191" t="s">
        <v>901</v>
      </c>
      <c r="C37" s="104" t="s">
        <v>35</v>
      </c>
      <c r="D37" s="105" t="s">
        <v>735</v>
      </c>
      <c r="E37" s="105" t="s">
        <v>212</v>
      </c>
      <c r="F37" s="105" t="s">
        <v>713</v>
      </c>
      <c r="G37" s="105" t="s">
        <v>763</v>
      </c>
      <c r="H37" s="106" t="s">
        <v>753</v>
      </c>
      <c r="I37" s="106" t="s">
        <v>534</v>
      </c>
      <c r="J37" s="106">
        <v>16</v>
      </c>
      <c r="K37" s="226">
        <v>12</v>
      </c>
      <c r="L37" s="226" t="s">
        <v>757</v>
      </c>
      <c r="M37" s="106"/>
      <c r="N37" s="107" t="s">
        <v>241</v>
      </c>
      <c r="O37" s="250">
        <v>230</v>
      </c>
      <c r="P37" s="109" t="s">
        <v>398</v>
      </c>
      <c r="Q37" s="106" t="s">
        <v>361</v>
      </c>
      <c r="R37" s="226"/>
      <c r="S37" s="226"/>
      <c r="T37" s="110" t="e">
        <f>(#REF!-#REF!)/1.2</f>
        <v>#REF!</v>
      </c>
      <c r="U37" s="111" t="e">
        <f>T37*1.2/#REF!</f>
        <v>#REF!</v>
      </c>
      <c r="V37" s="112">
        <v>9738.9599999999991</v>
      </c>
      <c r="W37" s="113" t="e">
        <f>V37*#REF!</f>
        <v>#REF!</v>
      </c>
      <c r="X37" s="114" t="e">
        <f>(W37/#REF!)-1</f>
        <v>#REF!</v>
      </c>
      <c r="Y37" s="115" t="e">
        <f>W37-#REF!</f>
        <v>#REF!</v>
      </c>
      <c r="Z37" s="114" t="e">
        <f>1-(#REF!/W37)</f>
        <v>#REF!</v>
      </c>
      <c r="AA37" s="116">
        <v>13342.38</v>
      </c>
      <c r="AB37" s="117" t="e">
        <f>AA37*#REF!</f>
        <v>#REF!</v>
      </c>
      <c r="AC37" s="118" t="e">
        <f>(AB37/#REF!)-1</f>
        <v>#REF!</v>
      </c>
      <c r="AD37" s="117" t="e">
        <f>AB37-#REF!</f>
        <v>#REF!</v>
      </c>
      <c r="AE37" s="155" t="e">
        <f>1-(#REF!/AB37)</f>
        <v>#REF!</v>
      </c>
      <c r="AF37" s="157" t="s">
        <v>571</v>
      </c>
      <c r="AG37" s="105" t="s">
        <v>344</v>
      </c>
      <c r="AH37" s="226" t="s">
        <v>403</v>
      </c>
      <c r="AI37" s="226"/>
      <c r="AJ37" s="163"/>
    </row>
    <row r="38" spans="1:36" ht="35.1" customHeight="1" thickBot="1">
      <c r="A38" s="266" t="s">
        <v>920</v>
      </c>
      <c r="B38" s="191" t="s">
        <v>901</v>
      </c>
      <c r="C38" s="77" t="s">
        <v>345</v>
      </c>
      <c r="D38" s="78" t="s">
        <v>735</v>
      </c>
      <c r="E38" s="78" t="s">
        <v>736</v>
      </c>
      <c r="F38" s="78" t="s">
        <v>714</v>
      </c>
      <c r="G38" s="78" t="s">
        <v>764</v>
      </c>
      <c r="H38" s="165" t="s">
        <v>753</v>
      </c>
      <c r="I38" s="46" t="s">
        <v>531</v>
      </c>
      <c r="J38" s="217">
        <v>16</v>
      </c>
      <c r="K38" s="228">
        <v>12</v>
      </c>
      <c r="L38" s="228" t="s">
        <v>757</v>
      </c>
      <c r="M38" s="46"/>
      <c r="N38" s="49" t="s">
        <v>241</v>
      </c>
      <c r="O38" s="259">
        <v>98</v>
      </c>
      <c r="P38" s="79" t="s">
        <v>398</v>
      </c>
      <c r="Q38" s="46" t="s">
        <v>523</v>
      </c>
      <c r="R38" s="228" t="s">
        <v>886</v>
      </c>
      <c r="S38" s="228"/>
      <c r="T38" s="80">
        <v>2242.1765734265737</v>
      </c>
      <c r="U38" s="81">
        <v>0.60000000000000009</v>
      </c>
      <c r="V38" s="82">
        <v>4386.3599999999997</v>
      </c>
      <c r="W38" s="83">
        <v>4781.1324000000004</v>
      </c>
      <c r="X38" s="84">
        <v>6.6181061889631909E-2</v>
      </c>
      <c r="Y38" s="85">
        <v>296.77925314685399</v>
      </c>
      <c r="Z38" s="84">
        <v>6.2073004534836551E-2</v>
      </c>
      <c r="AA38" s="86">
        <v>6009.31</v>
      </c>
      <c r="AB38" s="87">
        <v>6550.1479000000008</v>
      </c>
      <c r="AC38" s="88">
        <v>0.46066727697315879</v>
      </c>
      <c r="AD38" s="87">
        <v>2065.7947531468544</v>
      </c>
      <c r="AE38" s="156">
        <v>0.31538139057086856</v>
      </c>
      <c r="AF38" s="157" t="s">
        <v>572</v>
      </c>
      <c r="AG38" s="78" t="s">
        <v>394</v>
      </c>
      <c r="AH38" s="228" t="s">
        <v>400</v>
      </c>
      <c r="AI38" s="228" t="s">
        <v>334</v>
      </c>
      <c r="AJ38" s="163"/>
    </row>
    <row r="39" spans="1:36" ht="35.1" customHeight="1" thickBot="1">
      <c r="A39" s="266" t="s">
        <v>920</v>
      </c>
      <c r="B39" s="191" t="s">
        <v>901</v>
      </c>
      <c r="C39" s="6" t="s">
        <v>346</v>
      </c>
      <c r="D39" s="7" t="s">
        <v>735</v>
      </c>
      <c r="E39" s="7" t="s">
        <v>736</v>
      </c>
      <c r="F39" s="7" t="s">
        <v>715</v>
      </c>
      <c r="G39" s="7" t="s">
        <v>764</v>
      </c>
      <c r="H39" s="166" t="s">
        <v>753</v>
      </c>
      <c r="I39" s="47" t="s">
        <v>532</v>
      </c>
      <c r="J39" s="218">
        <v>16</v>
      </c>
      <c r="K39" s="220">
        <v>12</v>
      </c>
      <c r="L39" s="220" t="s">
        <v>757</v>
      </c>
      <c r="M39" s="47"/>
      <c r="N39" s="48" t="s">
        <v>241</v>
      </c>
      <c r="O39" s="249">
        <v>135</v>
      </c>
      <c r="P39" s="34" t="s">
        <v>398</v>
      </c>
      <c r="Q39" s="47" t="s">
        <v>523</v>
      </c>
      <c r="R39" s="220" t="s">
        <v>886</v>
      </c>
      <c r="S39" s="220"/>
      <c r="T39" s="18">
        <v>3092.6573426573423</v>
      </c>
      <c r="U39" s="51">
        <v>0.6</v>
      </c>
      <c r="V39" s="52">
        <v>6468</v>
      </c>
      <c r="W39" s="53">
        <v>7050.1200000000008</v>
      </c>
      <c r="X39" s="55">
        <v>0.13981589598643329</v>
      </c>
      <c r="Y39" s="54">
        <v>864.80531468531626</v>
      </c>
      <c r="Z39" s="55">
        <v>0.12266533260218493</v>
      </c>
      <c r="AA39" s="64">
        <v>8861.16</v>
      </c>
      <c r="AB39" s="63">
        <v>9658.6643999999997</v>
      </c>
      <c r="AC39" s="62">
        <v>0.56154777750141327</v>
      </c>
      <c r="AD39" s="63">
        <v>3473.3497146853151</v>
      </c>
      <c r="AE39" s="154">
        <v>0.35960973182641232</v>
      </c>
      <c r="AF39" s="157" t="s">
        <v>573</v>
      </c>
      <c r="AG39" s="7" t="s">
        <v>395</v>
      </c>
      <c r="AH39" s="220" t="s">
        <v>401</v>
      </c>
      <c r="AI39" s="220" t="s">
        <v>335</v>
      </c>
      <c r="AJ39" s="163"/>
    </row>
    <row r="40" spans="1:36" ht="35.1" customHeight="1" thickBot="1">
      <c r="A40" s="266" t="s">
        <v>920</v>
      </c>
      <c r="B40" s="191" t="s">
        <v>901</v>
      </c>
      <c r="C40" s="6" t="s">
        <v>347</v>
      </c>
      <c r="D40" s="7" t="s">
        <v>735</v>
      </c>
      <c r="E40" s="7" t="s">
        <v>736</v>
      </c>
      <c r="F40" s="7" t="s">
        <v>716</v>
      </c>
      <c r="G40" s="7" t="s">
        <v>764</v>
      </c>
      <c r="H40" s="166" t="s">
        <v>753</v>
      </c>
      <c r="I40" s="47" t="s">
        <v>533</v>
      </c>
      <c r="J40" s="218">
        <v>16</v>
      </c>
      <c r="K40" s="220">
        <v>12</v>
      </c>
      <c r="L40" s="220" t="s">
        <v>757</v>
      </c>
      <c r="M40" s="47"/>
      <c r="N40" s="48" t="s">
        <v>241</v>
      </c>
      <c r="O40" s="249">
        <v>175</v>
      </c>
      <c r="P40" s="34" t="s">
        <v>398</v>
      </c>
      <c r="Q40" s="47" t="s">
        <v>523</v>
      </c>
      <c r="R40" s="220" t="s">
        <v>886</v>
      </c>
      <c r="S40" s="220"/>
      <c r="T40" s="18">
        <v>4159.8776223776222</v>
      </c>
      <c r="U40" s="51">
        <v>0.6</v>
      </c>
      <c r="V40" s="52">
        <v>7737.84</v>
      </c>
      <c r="W40" s="53">
        <v>8434.2456000000002</v>
      </c>
      <c r="X40" s="55">
        <v>1.3761264830107978E-2</v>
      </c>
      <c r="Y40" s="54">
        <v>114.49035524475585</v>
      </c>
      <c r="Z40" s="55">
        <v>1.3574463049161878E-2</v>
      </c>
      <c r="AA40" s="64">
        <v>10600.84</v>
      </c>
      <c r="AB40" s="63">
        <v>11554.9156</v>
      </c>
      <c r="AC40" s="62">
        <v>0.38885282800647225</v>
      </c>
      <c r="AD40" s="63">
        <v>3235.1603552447559</v>
      </c>
      <c r="AE40" s="154">
        <v>0.27998130555317569</v>
      </c>
      <c r="AF40" s="157" t="s">
        <v>574</v>
      </c>
      <c r="AG40" s="7" t="s">
        <v>396</v>
      </c>
      <c r="AH40" s="220" t="s">
        <v>402</v>
      </c>
      <c r="AI40" s="220" t="s">
        <v>336</v>
      </c>
      <c r="AJ40" s="163"/>
    </row>
    <row r="41" spans="1:36" ht="35.1" customHeight="1" thickBot="1">
      <c r="A41" s="266" t="s">
        <v>920</v>
      </c>
      <c r="B41" s="191" t="s">
        <v>901</v>
      </c>
      <c r="C41" s="104" t="s">
        <v>348</v>
      </c>
      <c r="D41" s="105" t="s">
        <v>735</v>
      </c>
      <c r="E41" s="105" t="s">
        <v>736</v>
      </c>
      <c r="F41" s="105" t="s">
        <v>717</v>
      </c>
      <c r="G41" s="105" t="s">
        <v>764</v>
      </c>
      <c r="H41" s="106" t="s">
        <v>753</v>
      </c>
      <c r="I41" s="106" t="s">
        <v>534</v>
      </c>
      <c r="J41" s="106">
        <v>16</v>
      </c>
      <c r="K41" s="226">
        <v>12</v>
      </c>
      <c r="L41" s="226" t="s">
        <v>757</v>
      </c>
      <c r="M41" s="106"/>
      <c r="N41" s="107" t="s">
        <v>241</v>
      </c>
      <c r="O41" s="250">
        <v>230</v>
      </c>
      <c r="P41" s="109" t="s">
        <v>398</v>
      </c>
      <c r="Q41" s="106" t="s">
        <v>523</v>
      </c>
      <c r="R41" s="226" t="s">
        <v>886</v>
      </c>
      <c r="S41" s="226"/>
      <c r="T41" s="110" t="e">
        <f>(#REF!-#REF!)/1.2</f>
        <v>#REF!</v>
      </c>
      <c r="U41" s="111" t="e">
        <f>T41*1.2/#REF!</f>
        <v>#REF!</v>
      </c>
      <c r="V41" s="112">
        <v>9738.9599999999991</v>
      </c>
      <c r="W41" s="113" t="e">
        <f>V41*#REF!</f>
        <v>#REF!</v>
      </c>
      <c r="X41" s="114" t="e">
        <f>(W41/#REF!)-1</f>
        <v>#REF!</v>
      </c>
      <c r="Y41" s="115" t="e">
        <f>W41-#REF!</f>
        <v>#REF!</v>
      </c>
      <c r="Z41" s="114" t="e">
        <f>1-(#REF!/W41)</f>
        <v>#REF!</v>
      </c>
      <c r="AA41" s="116">
        <v>13342.38</v>
      </c>
      <c r="AB41" s="117" t="e">
        <f>AA41*#REF!</f>
        <v>#REF!</v>
      </c>
      <c r="AC41" s="118" t="e">
        <f>(AB41/#REF!)-1</f>
        <v>#REF!</v>
      </c>
      <c r="AD41" s="117" t="e">
        <f>AB41-#REF!</f>
        <v>#REF!</v>
      </c>
      <c r="AE41" s="155" t="e">
        <f>1-(#REF!/AB41)</f>
        <v>#REF!</v>
      </c>
      <c r="AF41" s="157" t="s">
        <v>575</v>
      </c>
      <c r="AG41" s="105" t="s">
        <v>397</v>
      </c>
      <c r="AH41" s="226" t="s">
        <v>403</v>
      </c>
      <c r="AI41" s="226" t="s">
        <v>337</v>
      </c>
      <c r="AJ41" s="163"/>
    </row>
    <row r="42" spans="1:36" ht="95.1" customHeight="1">
      <c r="A42" s="266" t="s">
        <v>921</v>
      </c>
      <c r="B42" s="191"/>
      <c r="C42" s="89" t="s">
        <v>36</v>
      </c>
      <c r="D42" s="90" t="s">
        <v>737</v>
      </c>
      <c r="E42" s="91" t="s">
        <v>361</v>
      </c>
      <c r="F42" s="90" t="s">
        <v>235</v>
      </c>
      <c r="G42" s="90" t="s">
        <v>766</v>
      </c>
      <c r="H42" s="91" t="s">
        <v>753</v>
      </c>
      <c r="I42" s="91" t="s">
        <v>765</v>
      </c>
      <c r="J42" s="175">
        <v>16</v>
      </c>
      <c r="K42" s="243"/>
      <c r="L42" s="243"/>
      <c r="M42" s="175"/>
      <c r="N42" s="176" t="s">
        <v>241</v>
      </c>
      <c r="O42" s="254">
        <v>6</v>
      </c>
      <c r="P42" s="177" t="s">
        <v>361</v>
      </c>
      <c r="Q42" s="177" t="s">
        <v>361</v>
      </c>
      <c r="R42" s="254" t="s">
        <v>887</v>
      </c>
      <c r="S42" s="243"/>
      <c r="T42" s="95" t="e">
        <f>(#REF!-#REF!)/1.2</f>
        <v>#REF!</v>
      </c>
      <c r="U42" s="96" t="e">
        <f>T42*1.2/#REF!</f>
        <v>#REF!</v>
      </c>
      <c r="V42" s="97">
        <v>121.44</v>
      </c>
      <c r="W42" s="98" t="e">
        <f>V42*#REF!</f>
        <v>#REF!</v>
      </c>
      <c r="X42" s="99" t="e">
        <f>(W42/#REF!)-1</f>
        <v>#REF!</v>
      </c>
      <c r="Y42" s="100" t="e">
        <f>W42-#REF!</f>
        <v>#REF!</v>
      </c>
      <c r="Z42" s="99" t="e">
        <f>1-(#REF!/W42)</f>
        <v>#REF!</v>
      </c>
      <c r="AA42" s="101">
        <v>139.66</v>
      </c>
      <c r="AB42" s="102" t="e">
        <f>AA42*#REF!</f>
        <v>#REF!</v>
      </c>
      <c r="AC42" s="103" t="e">
        <f>(AB42/#REF!)-1</f>
        <v>#REF!</v>
      </c>
      <c r="AD42" s="102" t="e">
        <f>AB42-#REF!</f>
        <v>#REF!</v>
      </c>
      <c r="AE42" s="153" t="e">
        <f>1-(#REF!/AB42)</f>
        <v>#REF!</v>
      </c>
      <c r="AF42" s="157" t="s">
        <v>576</v>
      </c>
      <c r="AG42" s="90" t="s">
        <v>235</v>
      </c>
      <c r="AH42" s="224" t="s">
        <v>407</v>
      </c>
      <c r="AI42" s="224" t="s">
        <v>304</v>
      </c>
      <c r="AJ42" s="163"/>
    </row>
    <row r="43" spans="1:36" ht="95.1" customHeight="1">
      <c r="A43" s="266" t="s">
        <v>922</v>
      </c>
      <c r="B43" s="192"/>
      <c r="C43" s="6" t="s">
        <v>37</v>
      </c>
      <c r="D43" s="7" t="s">
        <v>737</v>
      </c>
      <c r="E43" s="166" t="s">
        <v>361</v>
      </c>
      <c r="F43" s="7" t="s">
        <v>236</v>
      </c>
      <c r="G43" s="7" t="s">
        <v>767</v>
      </c>
      <c r="H43" s="166" t="s">
        <v>753</v>
      </c>
      <c r="I43" s="47" t="s">
        <v>768</v>
      </c>
      <c r="J43" s="218">
        <v>16</v>
      </c>
      <c r="K43" s="220"/>
      <c r="L43" s="220"/>
      <c r="M43" s="166"/>
      <c r="N43" s="48" t="s">
        <v>241</v>
      </c>
      <c r="O43" s="249">
        <v>7</v>
      </c>
      <c r="P43" s="166" t="s">
        <v>361</v>
      </c>
      <c r="Q43" s="166" t="s">
        <v>361</v>
      </c>
      <c r="R43" s="220" t="s">
        <v>887</v>
      </c>
      <c r="S43" s="220"/>
      <c r="T43" s="18" t="e">
        <f>(#REF!-#REF!)/1.2</f>
        <v>#REF!</v>
      </c>
      <c r="U43" s="51" t="e">
        <f>T43*1.2/#REF!</f>
        <v>#REF!</v>
      </c>
      <c r="V43" s="52">
        <v>227.04</v>
      </c>
      <c r="W43" s="53" t="e">
        <f>V43*#REF!</f>
        <v>#REF!</v>
      </c>
      <c r="X43" s="55" t="e">
        <f>(W43/#REF!)-1</f>
        <v>#REF!</v>
      </c>
      <c r="Y43" s="54" t="e">
        <f>W43-#REF!</f>
        <v>#REF!</v>
      </c>
      <c r="Z43" s="55" t="e">
        <f>1-(#REF!/W43)</f>
        <v>#REF!</v>
      </c>
      <c r="AA43" s="64">
        <v>261.10000000000002</v>
      </c>
      <c r="AB43" s="63" t="e">
        <f>AA43*#REF!</f>
        <v>#REF!</v>
      </c>
      <c r="AC43" s="62" t="e">
        <f>(AB43/#REF!)-1</f>
        <v>#REF!</v>
      </c>
      <c r="AD43" s="63" t="e">
        <f>AB43-#REF!</f>
        <v>#REF!</v>
      </c>
      <c r="AE43" s="154" t="e">
        <f>1-(#REF!/AB43)</f>
        <v>#REF!</v>
      </c>
      <c r="AF43" s="157" t="s">
        <v>577</v>
      </c>
      <c r="AG43" s="7" t="s">
        <v>236</v>
      </c>
      <c r="AH43" s="220" t="s">
        <v>404</v>
      </c>
      <c r="AI43" s="220" t="s">
        <v>305</v>
      </c>
      <c r="AJ43" s="163"/>
    </row>
    <row r="44" spans="1:36" ht="54.75" customHeight="1">
      <c r="A44" s="266" t="s">
        <v>923</v>
      </c>
      <c r="B44" s="189"/>
      <c r="C44" s="6" t="s">
        <v>38</v>
      </c>
      <c r="D44" s="7" t="s">
        <v>737</v>
      </c>
      <c r="E44" s="166" t="s">
        <v>361</v>
      </c>
      <c r="F44" s="7" t="s">
        <v>237</v>
      </c>
      <c r="G44" s="7" t="s">
        <v>793</v>
      </c>
      <c r="H44" s="166" t="s">
        <v>753</v>
      </c>
      <c r="I44" s="47" t="s">
        <v>769</v>
      </c>
      <c r="J44" s="218">
        <v>16</v>
      </c>
      <c r="K44" s="220"/>
      <c r="L44" s="220"/>
      <c r="M44" s="166"/>
      <c r="N44" s="48" t="s">
        <v>241</v>
      </c>
      <c r="O44" s="249">
        <v>11.4</v>
      </c>
      <c r="P44" s="166" t="s">
        <v>361</v>
      </c>
      <c r="Q44" s="166" t="s">
        <v>361</v>
      </c>
      <c r="R44" s="220" t="s">
        <v>887</v>
      </c>
      <c r="S44" s="220"/>
      <c r="T44" s="18" t="e">
        <f>(#REF!-#REF!)/1.2</f>
        <v>#REF!</v>
      </c>
      <c r="U44" s="51" t="e">
        <f>T44*1.2/#REF!</f>
        <v>#REF!</v>
      </c>
      <c r="V44" s="52">
        <v>237.6</v>
      </c>
      <c r="W44" s="53" t="e">
        <f>V44*#REF!</f>
        <v>#REF!</v>
      </c>
      <c r="X44" s="55" t="e">
        <f>(W44/#REF!)-1</f>
        <v>#REF!</v>
      </c>
      <c r="Y44" s="54" t="e">
        <f>W44-#REF!</f>
        <v>#REF!</v>
      </c>
      <c r="Z44" s="55" t="e">
        <f>1-(#REF!/W44)</f>
        <v>#REF!</v>
      </c>
      <c r="AA44" s="64">
        <v>273.24</v>
      </c>
      <c r="AB44" s="63" t="e">
        <f>AA44*#REF!</f>
        <v>#REF!</v>
      </c>
      <c r="AC44" s="62" t="e">
        <f>(AB44/#REF!)-1</f>
        <v>#REF!</v>
      </c>
      <c r="AD44" s="63" t="e">
        <f>AB44-#REF!</f>
        <v>#REF!</v>
      </c>
      <c r="AE44" s="154" t="e">
        <f>1-(#REF!/AB44)</f>
        <v>#REF!</v>
      </c>
      <c r="AF44" s="157" t="s">
        <v>578</v>
      </c>
      <c r="AG44" s="7" t="s">
        <v>237</v>
      </c>
      <c r="AH44" s="220" t="s">
        <v>405</v>
      </c>
      <c r="AI44" s="220"/>
      <c r="AJ44" s="163"/>
    </row>
    <row r="45" spans="1:36" ht="54.75" customHeight="1">
      <c r="A45" s="266" t="s">
        <v>924</v>
      </c>
      <c r="B45" s="189"/>
      <c r="C45" s="6" t="s">
        <v>39</v>
      </c>
      <c r="D45" s="7" t="s">
        <v>737</v>
      </c>
      <c r="E45" s="166" t="s">
        <v>361</v>
      </c>
      <c r="F45" s="7" t="s">
        <v>238</v>
      </c>
      <c r="G45" s="7" t="s">
        <v>794</v>
      </c>
      <c r="H45" s="166" t="s">
        <v>753</v>
      </c>
      <c r="I45" s="47" t="s">
        <v>765</v>
      </c>
      <c r="J45" s="218">
        <v>16</v>
      </c>
      <c r="K45" s="220"/>
      <c r="L45" s="220"/>
      <c r="M45" s="166"/>
      <c r="N45" s="48" t="s">
        <v>241</v>
      </c>
      <c r="O45" s="249">
        <v>13.1</v>
      </c>
      <c r="P45" s="166" t="s">
        <v>361</v>
      </c>
      <c r="Q45" s="166" t="s">
        <v>361</v>
      </c>
      <c r="R45" s="220" t="s">
        <v>887</v>
      </c>
      <c r="S45" s="220"/>
      <c r="T45" s="18" t="e">
        <f>(#REF!-#REF!)/1.2</f>
        <v>#REF!</v>
      </c>
      <c r="U45" s="51" t="e">
        <f>T45*1.2/#REF!</f>
        <v>#REF!</v>
      </c>
      <c r="V45" s="52">
        <v>237.6</v>
      </c>
      <c r="W45" s="53" t="e">
        <f>V45*#REF!</f>
        <v>#REF!</v>
      </c>
      <c r="X45" s="55" t="e">
        <f>(W45/#REF!)-1</f>
        <v>#REF!</v>
      </c>
      <c r="Y45" s="54" t="e">
        <f>W45-#REF!</f>
        <v>#REF!</v>
      </c>
      <c r="Z45" s="55" t="e">
        <f>1-(#REF!/W45)</f>
        <v>#REF!</v>
      </c>
      <c r="AA45" s="64">
        <v>273.24</v>
      </c>
      <c r="AB45" s="63" t="e">
        <f>AA45*#REF!</f>
        <v>#REF!</v>
      </c>
      <c r="AC45" s="62" t="e">
        <f>(AB45/#REF!)-1</f>
        <v>#REF!</v>
      </c>
      <c r="AD45" s="63" t="e">
        <f>AB45-#REF!</f>
        <v>#REF!</v>
      </c>
      <c r="AE45" s="154" t="e">
        <f>1-(#REF!/AB45)</f>
        <v>#REF!</v>
      </c>
      <c r="AF45" s="157" t="s">
        <v>579</v>
      </c>
      <c r="AG45" s="7" t="s">
        <v>238</v>
      </c>
      <c r="AH45" s="220" t="s">
        <v>405</v>
      </c>
      <c r="AI45" s="220" t="s">
        <v>306</v>
      </c>
      <c r="AJ45" s="163"/>
    </row>
    <row r="46" spans="1:36" ht="54.75" customHeight="1">
      <c r="A46" s="266" t="s">
        <v>925</v>
      </c>
      <c r="B46" s="189"/>
      <c r="C46" s="6" t="s">
        <v>40</v>
      </c>
      <c r="D46" s="7" t="s">
        <v>737</v>
      </c>
      <c r="E46" s="166" t="s">
        <v>361</v>
      </c>
      <c r="F46" s="7" t="s">
        <v>239</v>
      </c>
      <c r="G46" s="7" t="s">
        <v>795</v>
      </c>
      <c r="H46" s="166" t="s">
        <v>753</v>
      </c>
      <c r="I46" s="47" t="s">
        <v>769</v>
      </c>
      <c r="J46" s="218">
        <v>16</v>
      </c>
      <c r="K46" s="220"/>
      <c r="L46" s="220"/>
      <c r="M46" s="166"/>
      <c r="N46" s="48" t="s">
        <v>241</v>
      </c>
      <c r="O46" s="249">
        <v>11.2</v>
      </c>
      <c r="P46" s="47" t="s">
        <v>361</v>
      </c>
      <c r="Q46" s="47" t="s">
        <v>361</v>
      </c>
      <c r="R46" s="220" t="s">
        <v>887</v>
      </c>
      <c r="S46" s="220"/>
      <c r="T46" s="18" t="e">
        <f>(#REF!-#REF!)/1.2</f>
        <v>#REF!</v>
      </c>
      <c r="U46" s="51" t="e">
        <f>T46*1.2/#REF!</f>
        <v>#REF!</v>
      </c>
      <c r="V46" s="52">
        <v>237.6</v>
      </c>
      <c r="W46" s="53" t="e">
        <f>V46*#REF!</f>
        <v>#REF!</v>
      </c>
      <c r="X46" s="55" t="e">
        <f>(W46/#REF!)-1</f>
        <v>#REF!</v>
      </c>
      <c r="Y46" s="54" t="e">
        <f>W46-#REF!</f>
        <v>#REF!</v>
      </c>
      <c r="Z46" s="55" t="e">
        <f>1-(#REF!/W46)</f>
        <v>#REF!</v>
      </c>
      <c r="AA46" s="64">
        <v>273.24</v>
      </c>
      <c r="AB46" s="63" t="e">
        <f>AA46*#REF!</f>
        <v>#REF!</v>
      </c>
      <c r="AC46" s="62" t="e">
        <f>(AB46/#REF!)-1</f>
        <v>#REF!</v>
      </c>
      <c r="AD46" s="63" t="e">
        <f>AB46-#REF!</f>
        <v>#REF!</v>
      </c>
      <c r="AE46" s="154" t="e">
        <f>1-(#REF!/AB46)</f>
        <v>#REF!</v>
      </c>
      <c r="AF46" s="157" t="s">
        <v>580</v>
      </c>
      <c r="AG46" s="7" t="s">
        <v>239</v>
      </c>
      <c r="AH46" s="220" t="s">
        <v>406</v>
      </c>
      <c r="AI46" s="220"/>
      <c r="AJ46" s="163"/>
    </row>
    <row r="47" spans="1:36" ht="54.75" customHeight="1">
      <c r="A47" s="266" t="s">
        <v>926</v>
      </c>
      <c r="B47" s="189"/>
      <c r="C47" s="6" t="s">
        <v>41</v>
      </c>
      <c r="D47" s="7" t="s">
        <v>737</v>
      </c>
      <c r="E47" s="166" t="s">
        <v>361</v>
      </c>
      <c r="F47" s="7" t="s">
        <v>240</v>
      </c>
      <c r="G47" s="7" t="s">
        <v>796</v>
      </c>
      <c r="H47" s="166" t="s">
        <v>753</v>
      </c>
      <c r="I47" s="47" t="s">
        <v>765</v>
      </c>
      <c r="J47" s="218">
        <v>16</v>
      </c>
      <c r="K47" s="220"/>
      <c r="L47" s="220"/>
      <c r="M47" s="166"/>
      <c r="N47" s="48" t="s">
        <v>241</v>
      </c>
      <c r="O47" s="249">
        <v>12.9</v>
      </c>
      <c r="P47" s="47" t="s">
        <v>361</v>
      </c>
      <c r="Q47" s="47" t="s">
        <v>361</v>
      </c>
      <c r="R47" s="220" t="s">
        <v>887</v>
      </c>
      <c r="S47" s="220"/>
      <c r="T47" s="18" t="e">
        <f>(#REF!-#REF!)/1.2</f>
        <v>#REF!</v>
      </c>
      <c r="U47" s="51" t="e">
        <f>T47*1.2/#REF!</f>
        <v>#REF!</v>
      </c>
      <c r="V47" s="52">
        <v>237.6</v>
      </c>
      <c r="W47" s="53" t="e">
        <f>V47*#REF!</f>
        <v>#REF!</v>
      </c>
      <c r="X47" s="55" t="e">
        <f>(W47/#REF!)-1</f>
        <v>#REF!</v>
      </c>
      <c r="Y47" s="54" t="e">
        <f>W47-#REF!</f>
        <v>#REF!</v>
      </c>
      <c r="Z47" s="55" t="e">
        <f>1-(#REF!/W47)</f>
        <v>#REF!</v>
      </c>
      <c r="AA47" s="64">
        <v>273.24</v>
      </c>
      <c r="AB47" s="63" t="e">
        <f>AA47*#REF!</f>
        <v>#REF!</v>
      </c>
      <c r="AC47" s="62" t="e">
        <f>(AB47/#REF!)-1</f>
        <v>#REF!</v>
      </c>
      <c r="AD47" s="63" t="e">
        <f>AB47-#REF!</f>
        <v>#REF!</v>
      </c>
      <c r="AE47" s="154" t="e">
        <f>1-(#REF!/AB47)</f>
        <v>#REF!</v>
      </c>
      <c r="AF47" s="157" t="s">
        <v>581</v>
      </c>
      <c r="AG47" s="7" t="s">
        <v>240</v>
      </c>
      <c r="AH47" s="220" t="s">
        <v>406</v>
      </c>
      <c r="AI47" s="220"/>
      <c r="AJ47" s="163"/>
    </row>
    <row r="48" spans="1:36" ht="95.1" customHeight="1" thickBot="1">
      <c r="A48" s="266" t="s">
        <v>927</v>
      </c>
      <c r="B48" s="193"/>
      <c r="C48" s="104" t="s">
        <v>42</v>
      </c>
      <c r="D48" s="105" t="s">
        <v>737</v>
      </c>
      <c r="E48" s="106" t="s">
        <v>361</v>
      </c>
      <c r="F48" s="123" t="s">
        <v>242</v>
      </c>
      <c r="G48" s="123" t="s">
        <v>797</v>
      </c>
      <c r="H48" s="107" t="s">
        <v>753</v>
      </c>
      <c r="I48" s="107" t="s">
        <v>769</v>
      </c>
      <c r="J48" s="106">
        <v>16</v>
      </c>
      <c r="K48" s="226"/>
      <c r="L48" s="226"/>
      <c r="M48" s="106"/>
      <c r="N48" s="107" t="s">
        <v>241</v>
      </c>
      <c r="O48" s="250">
        <v>10</v>
      </c>
      <c r="P48" s="106" t="s">
        <v>361</v>
      </c>
      <c r="Q48" s="106" t="s">
        <v>361</v>
      </c>
      <c r="R48" s="220" t="s">
        <v>887</v>
      </c>
      <c r="S48" s="226"/>
      <c r="T48" s="110" t="e">
        <f>(#REF!-#REF!)/1.2</f>
        <v>#REF!</v>
      </c>
      <c r="U48" s="111" t="e">
        <f>T48*1.2/#REF!</f>
        <v>#REF!</v>
      </c>
      <c r="V48" s="112">
        <v>242.88</v>
      </c>
      <c r="W48" s="113" t="e">
        <f>V48*#REF!</f>
        <v>#REF!</v>
      </c>
      <c r="X48" s="114" t="e">
        <f>(W48/#REF!)-1</f>
        <v>#REF!</v>
      </c>
      <c r="Y48" s="115" t="e">
        <f>W48-#REF!</f>
        <v>#REF!</v>
      </c>
      <c r="Z48" s="114" t="e">
        <f>1-(#REF!/W48)</f>
        <v>#REF!</v>
      </c>
      <c r="AA48" s="116">
        <v>279.31</v>
      </c>
      <c r="AB48" s="117" t="e">
        <f>AA48*#REF!</f>
        <v>#REF!</v>
      </c>
      <c r="AC48" s="118" t="e">
        <f>(AB48/#REF!)-1</f>
        <v>#REF!</v>
      </c>
      <c r="AD48" s="117" t="e">
        <f>AB48-#REF!</f>
        <v>#REF!</v>
      </c>
      <c r="AE48" s="155" t="e">
        <f>1-(#REF!/AB48)</f>
        <v>#REF!</v>
      </c>
      <c r="AF48" s="157" t="s">
        <v>582</v>
      </c>
      <c r="AG48" s="123" t="s">
        <v>242</v>
      </c>
      <c r="AH48" s="226" t="s">
        <v>408</v>
      </c>
      <c r="AI48" s="226" t="s">
        <v>409</v>
      </c>
      <c r="AJ48" s="163"/>
    </row>
    <row r="49" spans="1:36" ht="80.099999999999994" customHeight="1">
      <c r="A49" s="266" t="s">
        <v>928</v>
      </c>
      <c r="B49" s="191"/>
      <c r="C49" s="89" t="s">
        <v>43</v>
      </c>
      <c r="D49" s="90" t="s">
        <v>738</v>
      </c>
      <c r="E49" s="91" t="s">
        <v>361</v>
      </c>
      <c r="F49" s="178" t="s">
        <v>798</v>
      </c>
      <c r="G49" s="125" t="s">
        <v>803</v>
      </c>
      <c r="H49" s="92" t="s">
        <v>753</v>
      </c>
      <c r="I49" s="92" t="s">
        <v>799</v>
      </c>
      <c r="J49" s="91">
        <v>16</v>
      </c>
      <c r="K49" s="224"/>
      <c r="L49" s="224"/>
      <c r="M49" s="91"/>
      <c r="N49" s="92" t="s">
        <v>241</v>
      </c>
      <c r="O49" s="261">
        <v>0.12</v>
      </c>
      <c r="P49" s="91" t="s">
        <v>361</v>
      </c>
      <c r="Q49" s="91" t="s">
        <v>361</v>
      </c>
      <c r="R49" s="224" t="s">
        <v>886</v>
      </c>
      <c r="S49" s="222" t="s">
        <v>275</v>
      </c>
      <c r="T49" s="95" t="e">
        <f>(#REF!-#REF!)/1.2</f>
        <v>#REF!</v>
      </c>
      <c r="U49" s="96" t="e">
        <f>T49*1.2/#REF!</f>
        <v>#REF!</v>
      </c>
      <c r="V49" s="97">
        <v>63.36</v>
      </c>
      <c r="W49" s="98" t="e">
        <f>V49*#REF!</f>
        <v>#REF!</v>
      </c>
      <c r="X49" s="99" t="e">
        <f>(W49/#REF!)-1</f>
        <v>#REF!</v>
      </c>
      <c r="Y49" s="100" t="e">
        <f>W49-#REF!</f>
        <v>#REF!</v>
      </c>
      <c r="Z49" s="99" t="e">
        <f>1-(#REF!/W49)</f>
        <v>#REF!</v>
      </c>
      <c r="AA49" s="101">
        <v>72.86</v>
      </c>
      <c r="AB49" s="102" t="e">
        <f>AA49*#REF!</f>
        <v>#REF!</v>
      </c>
      <c r="AC49" s="103" t="e">
        <f>(AB49/#REF!)-1</f>
        <v>#REF!</v>
      </c>
      <c r="AD49" s="102" t="e">
        <f>AB49-#REF!</f>
        <v>#REF!</v>
      </c>
      <c r="AE49" s="153" t="e">
        <f>1-(#REF!/AB49)</f>
        <v>#REF!</v>
      </c>
      <c r="AF49" s="157" t="s">
        <v>583</v>
      </c>
      <c r="AG49" s="125" t="s">
        <v>410</v>
      </c>
      <c r="AH49" s="229" t="s">
        <v>44</v>
      </c>
      <c r="AI49" s="229" t="s">
        <v>250</v>
      </c>
      <c r="AJ49" s="163"/>
    </row>
    <row r="50" spans="1:36" ht="90" customHeight="1">
      <c r="A50" s="266" t="s">
        <v>929</v>
      </c>
      <c r="B50" s="195"/>
      <c r="C50" s="6" t="s">
        <v>45</v>
      </c>
      <c r="D50" s="7" t="s">
        <v>738</v>
      </c>
      <c r="E50" s="166" t="s">
        <v>361</v>
      </c>
      <c r="F50" s="8" t="s">
        <v>411</v>
      </c>
      <c r="G50" s="8" t="s">
        <v>802</v>
      </c>
      <c r="H50" s="48" t="s">
        <v>753</v>
      </c>
      <c r="I50" s="48" t="s">
        <v>800</v>
      </c>
      <c r="J50" s="218">
        <v>16</v>
      </c>
      <c r="K50" s="220"/>
      <c r="L50" s="220"/>
      <c r="M50" s="47"/>
      <c r="N50" s="47" t="s">
        <v>241</v>
      </c>
      <c r="O50" s="249">
        <v>0.25</v>
      </c>
      <c r="P50" s="47" t="s">
        <v>361</v>
      </c>
      <c r="Q50" s="47" t="s">
        <v>361</v>
      </c>
      <c r="R50" s="220" t="s">
        <v>886</v>
      </c>
      <c r="S50" s="220" t="s">
        <v>751</v>
      </c>
      <c r="T50" s="18" t="e">
        <f>(#REF!-#REF!)/1.2</f>
        <v>#REF!</v>
      </c>
      <c r="U50" s="51" t="e">
        <f>T50*1.2/#REF!</f>
        <v>#REF!</v>
      </c>
      <c r="V50" s="52">
        <v>101.64</v>
      </c>
      <c r="W50" s="53" t="e">
        <f>V50*#REF!</f>
        <v>#REF!</v>
      </c>
      <c r="X50" s="55" t="e">
        <f>(W50/#REF!)-1</f>
        <v>#REF!</v>
      </c>
      <c r="Y50" s="54" t="e">
        <f>W50-#REF!</f>
        <v>#REF!</v>
      </c>
      <c r="Z50" s="55" t="e">
        <f>1-(#REF!/W50)</f>
        <v>#REF!</v>
      </c>
      <c r="AA50" s="64">
        <v>116.89</v>
      </c>
      <c r="AB50" s="63" t="e">
        <f>AA50*#REF!</f>
        <v>#REF!</v>
      </c>
      <c r="AC50" s="62" t="e">
        <f>(AB50/#REF!)-1</f>
        <v>#REF!</v>
      </c>
      <c r="AD50" s="63" t="e">
        <f>AB50-#REF!</f>
        <v>#REF!</v>
      </c>
      <c r="AE50" s="154" t="e">
        <f>1-(#REF!/AB50)</f>
        <v>#REF!</v>
      </c>
      <c r="AF50" s="157" t="s">
        <v>584</v>
      </c>
      <c r="AG50" s="8" t="s">
        <v>411</v>
      </c>
      <c r="AH50" s="220" t="s">
        <v>46</v>
      </c>
      <c r="AI50" s="220" t="s">
        <v>252</v>
      </c>
      <c r="AJ50" s="163"/>
    </row>
    <row r="51" spans="1:36" ht="90" customHeight="1">
      <c r="A51" s="266" t="s">
        <v>930</v>
      </c>
      <c r="B51" s="195"/>
      <c r="C51" s="6" t="s">
        <v>47</v>
      </c>
      <c r="D51" s="7" t="s">
        <v>738</v>
      </c>
      <c r="E51" s="166" t="s">
        <v>361</v>
      </c>
      <c r="F51" s="7" t="s">
        <v>675</v>
      </c>
      <c r="G51" s="8" t="s">
        <v>804</v>
      </c>
      <c r="H51" s="166" t="s">
        <v>753</v>
      </c>
      <c r="I51" s="48" t="s">
        <v>800</v>
      </c>
      <c r="J51" s="218">
        <v>16</v>
      </c>
      <c r="K51" s="220"/>
      <c r="L51" s="220"/>
      <c r="M51" s="47"/>
      <c r="N51" s="47" t="s">
        <v>241</v>
      </c>
      <c r="O51" s="249">
        <v>0.2</v>
      </c>
      <c r="P51" s="47" t="s">
        <v>361</v>
      </c>
      <c r="Q51" s="47" t="s">
        <v>361</v>
      </c>
      <c r="R51" s="220" t="s">
        <v>886</v>
      </c>
      <c r="S51" s="220" t="s">
        <v>751</v>
      </c>
      <c r="T51" s="18" t="e">
        <f>(#REF!-#REF!)/1.2</f>
        <v>#REF!</v>
      </c>
      <c r="U51" s="51" t="e">
        <f>T51*1.2/#REF!</f>
        <v>#REF!</v>
      </c>
      <c r="V51" s="52">
        <v>105.6</v>
      </c>
      <c r="W51" s="53" t="e">
        <f>V51*#REF!</f>
        <v>#REF!</v>
      </c>
      <c r="X51" s="55" t="e">
        <f>(W51/#REF!)-1</f>
        <v>#REF!</v>
      </c>
      <c r="Y51" s="54" t="e">
        <f>W51-#REF!</f>
        <v>#REF!</v>
      </c>
      <c r="Z51" s="55" t="e">
        <f>1-(#REF!/W51)</f>
        <v>#REF!</v>
      </c>
      <c r="AA51" s="64">
        <v>121.44</v>
      </c>
      <c r="AB51" s="63" t="e">
        <f>AA51*#REF!</f>
        <v>#REF!</v>
      </c>
      <c r="AC51" s="62" t="e">
        <f>(AB51/#REF!)-1</f>
        <v>#REF!</v>
      </c>
      <c r="AD51" s="63" t="e">
        <f>AB51-#REF!</f>
        <v>#REF!</v>
      </c>
      <c r="AE51" s="154" t="e">
        <f>1-(#REF!/AB51)</f>
        <v>#REF!</v>
      </c>
      <c r="AF51" s="157" t="s">
        <v>585</v>
      </c>
      <c r="AG51" s="7" t="s">
        <v>675</v>
      </c>
      <c r="AH51" s="220" t="s">
        <v>48</v>
      </c>
      <c r="AI51" s="220" t="s">
        <v>253</v>
      </c>
      <c r="AJ51" s="163"/>
    </row>
    <row r="52" spans="1:36" ht="90" customHeight="1">
      <c r="A52" s="266" t="s">
        <v>931</v>
      </c>
      <c r="B52" s="195"/>
      <c r="C52" s="6" t="s">
        <v>49</v>
      </c>
      <c r="D52" s="7" t="s">
        <v>738</v>
      </c>
      <c r="E52" s="166" t="s">
        <v>361</v>
      </c>
      <c r="F52" s="7" t="s">
        <v>412</v>
      </c>
      <c r="G52" s="7" t="s">
        <v>805</v>
      </c>
      <c r="H52" s="166" t="s">
        <v>753</v>
      </c>
      <c r="I52" s="48" t="s">
        <v>800</v>
      </c>
      <c r="J52" s="218">
        <v>16</v>
      </c>
      <c r="K52" s="220"/>
      <c r="L52" s="220"/>
      <c r="M52" s="47"/>
      <c r="N52" s="47" t="s">
        <v>241</v>
      </c>
      <c r="O52" s="249">
        <v>0.28999999999999998</v>
      </c>
      <c r="P52" s="47" t="s">
        <v>361</v>
      </c>
      <c r="Q52" s="47" t="s">
        <v>361</v>
      </c>
      <c r="R52" s="220" t="s">
        <v>886</v>
      </c>
      <c r="S52" s="220" t="s">
        <v>275</v>
      </c>
      <c r="T52" s="18" t="e">
        <f>(#REF!-#REF!)/1.2</f>
        <v>#REF!</v>
      </c>
      <c r="U52" s="51" t="e">
        <f>T52*1.2/#REF!</f>
        <v>#REF!</v>
      </c>
      <c r="V52" s="52">
        <v>101.64</v>
      </c>
      <c r="W52" s="53" t="e">
        <f>V52*#REF!</f>
        <v>#REF!</v>
      </c>
      <c r="X52" s="55" t="e">
        <f>(W52/#REF!)-1</f>
        <v>#REF!</v>
      </c>
      <c r="Y52" s="54" t="e">
        <f>W52-#REF!</f>
        <v>#REF!</v>
      </c>
      <c r="Z52" s="55" t="e">
        <f>1-(#REF!/W52)</f>
        <v>#REF!</v>
      </c>
      <c r="AA52" s="64">
        <v>116.89</v>
      </c>
      <c r="AB52" s="63" t="e">
        <f>AA52*#REF!</f>
        <v>#REF!</v>
      </c>
      <c r="AC52" s="62" t="e">
        <f>(AB52/#REF!)-1</f>
        <v>#REF!</v>
      </c>
      <c r="AD52" s="63" t="e">
        <f>AB52-#REF!</f>
        <v>#REF!</v>
      </c>
      <c r="AE52" s="154" t="e">
        <f>1-(#REF!/AB52)</f>
        <v>#REF!</v>
      </c>
      <c r="AF52" s="157" t="s">
        <v>586</v>
      </c>
      <c r="AG52" s="7" t="s">
        <v>412</v>
      </c>
      <c r="AH52" s="220" t="s">
        <v>50</v>
      </c>
      <c r="AI52" s="220" t="s">
        <v>254</v>
      </c>
      <c r="AJ52" s="163"/>
    </row>
    <row r="53" spans="1:36" ht="80.099999999999994" customHeight="1">
      <c r="A53" s="266" t="s">
        <v>932</v>
      </c>
      <c r="B53" s="192"/>
      <c r="C53" s="6" t="s">
        <v>51</v>
      </c>
      <c r="D53" s="7" t="s">
        <v>738</v>
      </c>
      <c r="E53" s="166" t="s">
        <v>361</v>
      </c>
      <c r="F53" s="8" t="s">
        <v>413</v>
      </c>
      <c r="G53" s="8" t="s">
        <v>806</v>
      </c>
      <c r="H53" s="48" t="s">
        <v>753</v>
      </c>
      <c r="I53" s="48" t="s">
        <v>801</v>
      </c>
      <c r="J53" s="218">
        <v>16</v>
      </c>
      <c r="K53" s="220"/>
      <c r="L53" s="220"/>
      <c r="M53" s="47"/>
      <c r="N53" s="47" t="s">
        <v>241</v>
      </c>
      <c r="O53" s="249">
        <v>0.17</v>
      </c>
      <c r="P53" s="47" t="s">
        <v>361</v>
      </c>
      <c r="Q53" s="47" t="s">
        <v>361</v>
      </c>
      <c r="R53" s="220" t="s">
        <v>886</v>
      </c>
      <c r="S53" s="220" t="s">
        <v>751</v>
      </c>
      <c r="T53" s="18" t="e">
        <f>(#REF!-#REF!)/1.2</f>
        <v>#REF!</v>
      </c>
      <c r="U53" s="51" t="e">
        <f>T53*1.2/#REF!</f>
        <v>#REF!</v>
      </c>
      <c r="V53" s="52">
        <v>72.599999999999994</v>
      </c>
      <c r="W53" s="53" t="e">
        <f>V53*#REF!</f>
        <v>#REF!</v>
      </c>
      <c r="X53" s="55" t="e">
        <f>(W53/#REF!)-1</f>
        <v>#REF!</v>
      </c>
      <c r="Y53" s="54" t="e">
        <f>W53-#REF!</f>
        <v>#REF!</v>
      </c>
      <c r="Z53" s="55" t="e">
        <f>1-(#REF!/W53)</f>
        <v>#REF!</v>
      </c>
      <c r="AA53" s="64">
        <v>83.49</v>
      </c>
      <c r="AB53" s="63" t="e">
        <f>AA53*#REF!</f>
        <v>#REF!</v>
      </c>
      <c r="AC53" s="62" t="e">
        <f>(AB53/#REF!)-1</f>
        <v>#REF!</v>
      </c>
      <c r="AD53" s="63" t="e">
        <f>AB53-#REF!</f>
        <v>#REF!</v>
      </c>
      <c r="AE53" s="154" t="e">
        <f>1-(#REF!/AB53)</f>
        <v>#REF!</v>
      </c>
      <c r="AF53" s="157" t="s">
        <v>587</v>
      </c>
      <c r="AG53" s="8" t="s">
        <v>413</v>
      </c>
      <c r="AH53" s="220" t="s">
        <v>52</v>
      </c>
      <c r="AI53" s="220" t="s">
        <v>251</v>
      </c>
      <c r="AJ53" s="163"/>
    </row>
    <row r="54" spans="1:36" ht="99.95" customHeight="1">
      <c r="A54" s="266" t="s">
        <v>933</v>
      </c>
      <c r="B54" s="192"/>
      <c r="C54" s="6" t="s">
        <v>53</v>
      </c>
      <c r="D54" s="7" t="s">
        <v>738</v>
      </c>
      <c r="E54" s="166" t="s">
        <v>361</v>
      </c>
      <c r="F54" s="8" t="s">
        <v>414</v>
      </c>
      <c r="G54" s="8" t="s">
        <v>808</v>
      </c>
      <c r="H54" s="48" t="s">
        <v>753</v>
      </c>
      <c r="I54" s="48" t="s">
        <v>807</v>
      </c>
      <c r="J54" s="218">
        <v>16</v>
      </c>
      <c r="K54" s="220"/>
      <c r="L54" s="220"/>
      <c r="M54" s="166"/>
      <c r="N54" s="48" t="s">
        <v>241</v>
      </c>
      <c r="O54" s="249">
        <v>0.32</v>
      </c>
      <c r="P54" s="47" t="s">
        <v>361</v>
      </c>
      <c r="Q54" s="47" t="s">
        <v>361</v>
      </c>
      <c r="R54" s="220" t="s">
        <v>886</v>
      </c>
      <c r="S54" s="220" t="s">
        <v>751</v>
      </c>
      <c r="T54" s="18" t="e">
        <f>(#REF!-#REF!)/1.2</f>
        <v>#REF!</v>
      </c>
      <c r="U54" s="51" t="e">
        <f>T54*1.2/#REF!</f>
        <v>#REF!</v>
      </c>
      <c r="V54" s="52">
        <v>121.44</v>
      </c>
      <c r="W54" s="53" t="e">
        <f>V54*#REF!</f>
        <v>#REF!</v>
      </c>
      <c r="X54" s="55" t="e">
        <f>(W54/#REF!)-1</f>
        <v>#REF!</v>
      </c>
      <c r="Y54" s="54" t="e">
        <f>W54-#REF!</f>
        <v>#REF!</v>
      </c>
      <c r="Z54" s="55" t="e">
        <f>1-(#REF!/W54)</f>
        <v>#REF!</v>
      </c>
      <c r="AA54" s="64">
        <v>139.66</v>
      </c>
      <c r="AB54" s="63" t="e">
        <f>AA54*#REF!</f>
        <v>#REF!</v>
      </c>
      <c r="AC54" s="62" t="e">
        <f>(AB54/#REF!)-1</f>
        <v>#REF!</v>
      </c>
      <c r="AD54" s="63" t="e">
        <f>AB54-#REF!</f>
        <v>#REF!</v>
      </c>
      <c r="AE54" s="154" t="e">
        <f>1-(#REF!/AB54)</f>
        <v>#REF!</v>
      </c>
      <c r="AF54" s="157" t="s">
        <v>588</v>
      </c>
      <c r="AG54" s="8" t="s">
        <v>414</v>
      </c>
      <c r="AH54" s="220" t="s">
        <v>54</v>
      </c>
      <c r="AI54" s="220" t="s">
        <v>255</v>
      </c>
      <c r="AJ54" s="163"/>
    </row>
    <row r="55" spans="1:36" ht="110.1" customHeight="1">
      <c r="A55" s="266" t="s">
        <v>934</v>
      </c>
      <c r="B55" s="196"/>
      <c r="C55" s="6" t="s">
        <v>55</v>
      </c>
      <c r="D55" s="7" t="s">
        <v>738</v>
      </c>
      <c r="E55" s="166" t="s">
        <v>361</v>
      </c>
      <c r="F55" s="7" t="s">
        <v>415</v>
      </c>
      <c r="G55" s="7" t="s">
        <v>809</v>
      </c>
      <c r="H55" s="166" t="s">
        <v>753</v>
      </c>
      <c r="I55" s="47" t="s">
        <v>810</v>
      </c>
      <c r="J55" s="218">
        <v>16</v>
      </c>
      <c r="K55" s="220"/>
      <c r="L55" s="220"/>
      <c r="M55" s="47"/>
      <c r="N55" s="47" t="s">
        <v>241</v>
      </c>
      <c r="O55" s="249">
        <v>2.6</v>
      </c>
      <c r="P55" s="47" t="s">
        <v>361</v>
      </c>
      <c r="Q55" s="47" t="s">
        <v>361</v>
      </c>
      <c r="R55" s="220" t="s">
        <v>886</v>
      </c>
      <c r="S55" s="220" t="s">
        <v>275</v>
      </c>
      <c r="T55" s="18" t="e">
        <f>(#REF!-#REF!)/1.2</f>
        <v>#REF!</v>
      </c>
      <c r="U55" s="51" t="e">
        <f>T55*1.2/#REF!</f>
        <v>#REF!</v>
      </c>
      <c r="V55" s="52">
        <v>165</v>
      </c>
      <c r="W55" s="53" t="e">
        <f>V55*#REF!</f>
        <v>#REF!</v>
      </c>
      <c r="X55" s="55" t="e">
        <f>(W55/#REF!)-1</f>
        <v>#REF!</v>
      </c>
      <c r="Y55" s="54" t="e">
        <f>W55-#REF!</f>
        <v>#REF!</v>
      </c>
      <c r="Z55" s="55" t="e">
        <f>1-(#REF!/W55)</f>
        <v>#REF!</v>
      </c>
      <c r="AA55" s="64">
        <v>189.75</v>
      </c>
      <c r="AB55" s="63" t="e">
        <f>AA55*#REF!</f>
        <v>#REF!</v>
      </c>
      <c r="AC55" s="62" t="e">
        <f>(AB55/#REF!)-1</f>
        <v>#REF!</v>
      </c>
      <c r="AD55" s="63" t="e">
        <f>AB55-#REF!</f>
        <v>#REF!</v>
      </c>
      <c r="AE55" s="154" t="e">
        <f>1-(#REF!/AB55)</f>
        <v>#REF!</v>
      </c>
      <c r="AF55" s="157" t="s">
        <v>589</v>
      </c>
      <c r="AG55" s="7" t="s">
        <v>415</v>
      </c>
      <c r="AH55" s="220"/>
      <c r="AI55" s="220" t="s">
        <v>245</v>
      </c>
      <c r="AJ55" s="163"/>
    </row>
    <row r="56" spans="1:36" ht="110.1" customHeight="1">
      <c r="A56" s="266" t="s">
        <v>935</v>
      </c>
      <c r="B56" s="196"/>
      <c r="C56" s="6" t="s">
        <v>56</v>
      </c>
      <c r="D56" s="7" t="s">
        <v>738</v>
      </c>
      <c r="E56" s="166" t="s">
        <v>361</v>
      </c>
      <c r="F56" s="7" t="s">
        <v>416</v>
      </c>
      <c r="G56" s="7" t="s">
        <v>809</v>
      </c>
      <c r="H56" s="166" t="s">
        <v>753</v>
      </c>
      <c r="I56" s="47" t="s">
        <v>811</v>
      </c>
      <c r="J56" s="218">
        <v>16</v>
      </c>
      <c r="K56" s="220"/>
      <c r="L56" s="220"/>
      <c r="M56" s="47"/>
      <c r="N56" s="47" t="s">
        <v>241</v>
      </c>
      <c r="O56" s="249">
        <v>4.5999999999999996</v>
      </c>
      <c r="P56" s="47" t="s">
        <v>361</v>
      </c>
      <c r="Q56" s="47" t="s">
        <v>361</v>
      </c>
      <c r="R56" s="220" t="s">
        <v>886</v>
      </c>
      <c r="S56" s="220" t="s">
        <v>275</v>
      </c>
      <c r="T56" s="18" t="e">
        <f>(#REF!-#REF!)/1.2</f>
        <v>#REF!</v>
      </c>
      <c r="U56" s="51" t="e">
        <f>T56*1.2/#REF!</f>
        <v>#REF!</v>
      </c>
      <c r="V56" s="52">
        <v>231</v>
      </c>
      <c r="W56" s="53" t="e">
        <f>V56*#REF!</f>
        <v>#REF!</v>
      </c>
      <c r="X56" s="55" t="e">
        <f>(W56/#REF!)-1</f>
        <v>#REF!</v>
      </c>
      <c r="Y56" s="54" t="e">
        <f>W56-#REF!</f>
        <v>#REF!</v>
      </c>
      <c r="Z56" s="55" t="e">
        <f>1-(#REF!/W56)</f>
        <v>#REF!</v>
      </c>
      <c r="AA56" s="64">
        <v>265.64999999999998</v>
      </c>
      <c r="AB56" s="63" t="e">
        <f>AA56*#REF!</f>
        <v>#REF!</v>
      </c>
      <c r="AC56" s="62" t="e">
        <f>(AB56/#REF!)-1</f>
        <v>#REF!</v>
      </c>
      <c r="AD56" s="63" t="e">
        <f>AB56-#REF!</f>
        <v>#REF!</v>
      </c>
      <c r="AE56" s="154" t="e">
        <f>1-(#REF!/AB56)</f>
        <v>#REF!</v>
      </c>
      <c r="AF56" s="157" t="s">
        <v>590</v>
      </c>
      <c r="AG56" s="7" t="s">
        <v>416</v>
      </c>
      <c r="AH56" s="220"/>
      <c r="AI56" s="220" t="s">
        <v>246</v>
      </c>
      <c r="AJ56" s="163"/>
    </row>
    <row r="57" spans="1:36" ht="90" customHeight="1">
      <c r="A57" s="266" t="s">
        <v>936</v>
      </c>
      <c r="B57" s="192"/>
      <c r="C57" s="6" t="s">
        <v>57</v>
      </c>
      <c r="D57" s="7" t="s">
        <v>738</v>
      </c>
      <c r="E57" s="166" t="s">
        <v>361</v>
      </c>
      <c r="F57" s="7" t="s">
        <v>516</v>
      </c>
      <c r="G57" s="7" t="s">
        <v>812</v>
      </c>
      <c r="H57" s="166" t="s">
        <v>753</v>
      </c>
      <c r="I57" s="48" t="s">
        <v>770</v>
      </c>
      <c r="J57" s="218">
        <v>16</v>
      </c>
      <c r="K57" s="220"/>
      <c r="L57" s="220"/>
      <c r="M57" s="47"/>
      <c r="N57" s="47" t="s">
        <v>241</v>
      </c>
      <c r="O57" s="249">
        <v>0.5</v>
      </c>
      <c r="P57" s="47" t="s">
        <v>361</v>
      </c>
      <c r="Q57" s="47" t="s">
        <v>361</v>
      </c>
      <c r="R57" s="220" t="s">
        <v>886</v>
      </c>
      <c r="S57" s="220" t="s">
        <v>275</v>
      </c>
      <c r="T57" s="18" t="e">
        <f>(#REF!-#REF!)/1.2</f>
        <v>#REF!</v>
      </c>
      <c r="U57" s="51" t="e">
        <f>T57*1.2/#REF!</f>
        <v>#REF!</v>
      </c>
      <c r="V57" s="52">
        <v>96.36</v>
      </c>
      <c r="W57" s="53" t="e">
        <f>V57*#REF!</f>
        <v>#REF!</v>
      </c>
      <c r="X57" s="55" t="e">
        <f>(W57/#REF!)-1</f>
        <v>#REF!</v>
      </c>
      <c r="Y57" s="54" t="e">
        <f>W57-#REF!</f>
        <v>#REF!</v>
      </c>
      <c r="Z57" s="55" t="e">
        <f>1-(#REF!/W57)</f>
        <v>#REF!</v>
      </c>
      <c r="AA57" s="64">
        <v>110.81</v>
      </c>
      <c r="AB57" s="63" t="e">
        <f>AA57*#REF!</f>
        <v>#REF!</v>
      </c>
      <c r="AC57" s="62" t="e">
        <f>(AB57/#REF!)-1</f>
        <v>#REF!</v>
      </c>
      <c r="AD57" s="63" t="e">
        <f>AB57-#REF!</f>
        <v>#REF!</v>
      </c>
      <c r="AE57" s="154" t="e">
        <f>1-(#REF!/AB57)</f>
        <v>#REF!</v>
      </c>
      <c r="AF57" s="157" t="s">
        <v>591</v>
      </c>
      <c r="AG57" s="7" t="s">
        <v>516</v>
      </c>
      <c r="AH57" s="220"/>
      <c r="AI57" s="230" t="s">
        <v>515</v>
      </c>
      <c r="AJ57" s="163"/>
    </row>
    <row r="58" spans="1:36" ht="90" customHeight="1">
      <c r="A58" s="266" t="s">
        <v>937</v>
      </c>
      <c r="B58" s="192"/>
      <c r="C58" s="6" t="s">
        <v>58</v>
      </c>
      <c r="D58" s="7" t="s">
        <v>738</v>
      </c>
      <c r="E58" s="166" t="s">
        <v>361</v>
      </c>
      <c r="F58" s="7" t="s">
        <v>425</v>
      </c>
      <c r="G58" s="7" t="s">
        <v>812</v>
      </c>
      <c r="H58" s="166" t="s">
        <v>753</v>
      </c>
      <c r="I58" s="47" t="s">
        <v>771</v>
      </c>
      <c r="J58" s="218">
        <v>16</v>
      </c>
      <c r="K58" s="220"/>
      <c r="L58" s="220"/>
      <c r="M58" s="47"/>
      <c r="N58" s="47" t="s">
        <v>241</v>
      </c>
      <c r="O58" s="249">
        <v>1.8</v>
      </c>
      <c r="P58" s="47" t="s">
        <v>361</v>
      </c>
      <c r="Q58" s="47" t="s">
        <v>361</v>
      </c>
      <c r="R58" s="220" t="s">
        <v>886</v>
      </c>
      <c r="S58" s="220" t="s">
        <v>275</v>
      </c>
      <c r="T58" s="18" t="e">
        <f>(#REF!-#REF!)/1.2</f>
        <v>#REF!</v>
      </c>
      <c r="U58" s="51" t="e">
        <f>T58*1.2/#REF!</f>
        <v>#REF!</v>
      </c>
      <c r="V58" s="52">
        <v>170.28</v>
      </c>
      <c r="W58" s="53" t="e">
        <f>V58*#REF!</f>
        <v>#REF!</v>
      </c>
      <c r="X58" s="55" t="e">
        <f>(W58/#REF!)-1</f>
        <v>#REF!</v>
      </c>
      <c r="Y58" s="54" t="e">
        <f>W58-#REF!</f>
        <v>#REF!</v>
      </c>
      <c r="Z58" s="55" t="e">
        <f>1-(#REF!/W58)</f>
        <v>#REF!</v>
      </c>
      <c r="AA58" s="64">
        <v>195.82</v>
      </c>
      <c r="AB58" s="63" t="e">
        <f>AA58*#REF!</f>
        <v>#REF!</v>
      </c>
      <c r="AC58" s="62" t="e">
        <f>(AB58/#REF!)-1</f>
        <v>#REF!</v>
      </c>
      <c r="AD58" s="63" t="e">
        <f>AB58-#REF!</f>
        <v>#REF!</v>
      </c>
      <c r="AE58" s="154" t="e">
        <f>1-(#REF!/AB58)</f>
        <v>#REF!</v>
      </c>
      <c r="AF58" s="157" t="s">
        <v>592</v>
      </c>
      <c r="AG58" s="7" t="s">
        <v>425</v>
      </c>
      <c r="AH58" s="220"/>
      <c r="AI58" s="220" t="s">
        <v>247</v>
      </c>
      <c r="AJ58" s="163"/>
    </row>
    <row r="59" spans="1:36" ht="90" customHeight="1">
      <c r="A59" s="266" t="s">
        <v>938</v>
      </c>
      <c r="B59" s="192"/>
      <c r="C59" s="6" t="s">
        <v>59</v>
      </c>
      <c r="D59" s="7" t="s">
        <v>738</v>
      </c>
      <c r="E59" s="166" t="s">
        <v>361</v>
      </c>
      <c r="F59" s="7" t="s">
        <v>426</v>
      </c>
      <c r="G59" s="7" t="s">
        <v>813</v>
      </c>
      <c r="H59" s="166" t="s">
        <v>753</v>
      </c>
      <c r="I59" s="47" t="s">
        <v>814</v>
      </c>
      <c r="J59" s="218">
        <v>16</v>
      </c>
      <c r="K59" s="220"/>
      <c r="L59" s="220"/>
      <c r="M59" s="47"/>
      <c r="N59" s="47" t="s">
        <v>241</v>
      </c>
      <c r="O59" s="249">
        <v>0.65</v>
      </c>
      <c r="P59" s="47" t="s">
        <v>361</v>
      </c>
      <c r="Q59" s="47" t="s">
        <v>361</v>
      </c>
      <c r="R59" s="220" t="s">
        <v>886</v>
      </c>
      <c r="S59" s="220" t="s">
        <v>751</v>
      </c>
      <c r="T59" s="18" t="e">
        <f>(#REF!-#REF!)/1.2</f>
        <v>#REF!</v>
      </c>
      <c r="U59" s="51" t="e">
        <f>T59*1.2/#REF!</f>
        <v>#REF!</v>
      </c>
      <c r="V59" s="52">
        <v>125.4</v>
      </c>
      <c r="W59" s="53" t="e">
        <f>V59*#REF!</f>
        <v>#REF!</v>
      </c>
      <c r="X59" s="55" t="e">
        <f>(W59/#REF!)-1</f>
        <v>#REF!</v>
      </c>
      <c r="Y59" s="54" t="e">
        <f>W59-#REF!</f>
        <v>#REF!</v>
      </c>
      <c r="Z59" s="55" t="e">
        <f>1-(#REF!/W59)</f>
        <v>#REF!</v>
      </c>
      <c r="AA59" s="64">
        <v>144.21</v>
      </c>
      <c r="AB59" s="63" t="e">
        <f>AA59*#REF!</f>
        <v>#REF!</v>
      </c>
      <c r="AC59" s="62" t="e">
        <f>(AB59/#REF!)-1</f>
        <v>#REF!</v>
      </c>
      <c r="AD59" s="63" t="e">
        <f>AB59-#REF!</f>
        <v>#REF!</v>
      </c>
      <c r="AE59" s="154" t="e">
        <f>1-(#REF!/AB59)</f>
        <v>#REF!</v>
      </c>
      <c r="AF59" s="157" t="s">
        <v>593</v>
      </c>
      <c r="AG59" s="7" t="s">
        <v>426</v>
      </c>
      <c r="AH59" s="220"/>
      <c r="AI59" s="220" t="s">
        <v>256</v>
      </c>
      <c r="AJ59" s="163"/>
    </row>
    <row r="60" spans="1:36" ht="90" customHeight="1">
      <c r="A60" s="266" t="s">
        <v>939</v>
      </c>
      <c r="B60" s="196"/>
      <c r="C60" s="6" t="s">
        <v>60</v>
      </c>
      <c r="D60" s="7" t="s">
        <v>738</v>
      </c>
      <c r="E60" s="166" t="s">
        <v>361</v>
      </c>
      <c r="F60" s="7" t="s">
        <v>427</v>
      </c>
      <c r="G60" s="7" t="s">
        <v>818</v>
      </c>
      <c r="H60" s="166" t="s">
        <v>753</v>
      </c>
      <c r="I60" s="47" t="s">
        <v>815</v>
      </c>
      <c r="J60" s="218">
        <v>16</v>
      </c>
      <c r="K60" s="220"/>
      <c r="L60" s="220"/>
      <c r="M60" s="47"/>
      <c r="N60" s="47" t="s">
        <v>241</v>
      </c>
      <c r="O60" s="249">
        <v>1.8</v>
      </c>
      <c r="P60" s="47" t="s">
        <v>361</v>
      </c>
      <c r="Q60" s="47" t="s">
        <v>361</v>
      </c>
      <c r="R60" s="220" t="s">
        <v>886</v>
      </c>
      <c r="S60" s="220" t="s">
        <v>275</v>
      </c>
      <c r="T60" s="18" t="e">
        <f>(#REF!-#REF!)/1.2</f>
        <v>#REF!</v>
      </c>
      <c r="U60" s="51" t="e">
        <f>T60*1.2/#REF!</f>
        <v>#REF!</v>
      </c>
      <c r="V60" s="52">
        <v>224.4</v>
      </c>
      <c r="W60" s="53" t="e">
        <f>V60*#REF!</f>
        <v>#REF!</v>
      </c>
      <c r="X60" s="55" t="e">
        <f>(W60/#REF!)-1</f>
        <v>#REF!</v>
      </c>
      <c r="Y60" s="54" t="e">
        <f>W60-#REF!</f>
        <v>#REF!</v>
      </c>
      <c r="Z60" s="55" t="e">
        <f>1-(#REF!/W60)</f>
        <v>#REF!</v>
      </c>
      <c r="AA60" s="64">
        <v>258.06</v>
      </c>
      <c r="AB60" s="63" t="e">
        <f>AA60*#REF!</f>
        <v>#REF!</v>
      </c>
      <c r="AC60" s="62" t="e">
        <f>(AB60/#REF!)-1</f>
        <v>#REF!</v>
      </c>
      <c r="AD60" s="63" t="e">
        <f>AB60-#REF!</f>
        <v>#REF!</v>
      </c>
      <c r="AE60" s="154" t="e">
        <f>1-(#REF!/AB60)</f>
        <v>#REF!</v>
      </c>
      <c r="AF60" s="157" t="s">
        <v>594</v>
      </c>
      <c r="AG60" s="7" t="s">
        <v>427</v>
      </c>
      <c r="AH60" s="220" t="s">
        <v>61</v>
      </c>
      <c r="AI60" s="220" t="s">
        <v>248</v>
      </c>
      <c r="AJ60" s="163"/>
    </row>
    <row r="61" spans="1:36" ht="90" customHeight="1">
      <c r="A61" s="266" t="s">
        <v>940</v>
      </c>
      <c r="B61" s="196"/>
      <c r="C61" s="6" t="s">
        <v>62</v>
      </c>
      <c r="D61" s="7" t="s">
        <v>738</v>
      </c>
      <c r="E61" s="166" t="s">
        <v>361</v>
      </c>
      <c r="F61" s="7" t="s">
        <v>428</v>
      </c>
      <c r="G61" s="7" t="s">
        <v>818</v>
      </c>
      <c r="H61" s="166" t="s">
        <v>753</v>
      </c>
      <c r="I61" s="166" t="s">
        <v>815</v>
      </c>
      <c r="J61" s="218">
        <v>16</v>
      </c>
      <c r="K61" s="220"/>
      <c r="L61" s="220"/>
      <c r="M61" s="47"/>
      <c r="N61" s="47" t="s">
        <v>241</v>
      </c>
      <c r="O61" s="249">
        <v>1.8</v>
      </c>
      <c r="P61" s="47" t="s">
        <v>361</v>
      </c>
      <c r="Q61" s="47" t="s">
        <v>361</v>
      </c>
      <c r="R61" s="220" t="s">
        <v>886</v>
      </c>
      <c r="S61" s="220" t="s">
        <v>275</v>
      </c>
      <c r="T61" s="18" t="e">
        <f>(#REF!-#REF!)/1.2</f>
        <v>#REF!</v>
      </c>
      <c r="U61" s="51" t="e">
        <f>T61*1.2/#REF!</f>
        <v>#REF!</v>
      </c>
      <c r="V61" s="52">
        <v>224.4</v>
      </c>
      <c r="W61" s="53" t="e">
        <f>V61*#REF!</f>
        <v>#REF!</v>
      </c>
      <c r="X61" s="55" t="e">
        <f>(W61/#REF!)-1</f>
        <v>#REF!</v>
      </c>
      <c r="Y61" s="54" t="e">
        <f>W61-#REF!</f>
        <v>#REF!</v>
      </c>
      <c r="Z61" s="55" t="e">
        <f>1-(#REF!/W61)</f>
        <v>#REF!</v>
      </c>
      <c r="AA61" s="64">
        <v>258.06</v>
      </c>
      <c r="AB61" s="63" t="e">
        <f>AA61*#REF!</f>
        <v>#REF!</v>
      </c>
      <c r="AC61" s="62" t="e">
        <f>(AB61/#REF!)-1</f>
        <v>#REF!</v>
      </c>
      <c r="AD61" s="63" t="e">
        <f>AB61-#REF!</f>
        <v>#REF!</v>
      </c>
      <c r="AE61" s="154" t="e">
        <f>1-(#REF!/AB61)</f>
        <v>#REF!</v>
      </c>
      <c r="AF61" s="157" t="s">
        <v>594</v>
      </c>
      <c r="AG61" s="7" t="s">
        <v>428</v>
      </c>
      <c r="AH61" s="220" t="s">
        <v>63</v>
      </c>
      <c r="AI61" s="220" t="s">
        <v>249</v>
      </c>
      <c r="AJ61" s="163"/>
    </row>
    <row r="62" spans="1:36" ht="110.1" customHeight="1">
      <c r="A62" s="266" t="s">
        <v>941</v>
      </c>
      <c r="B62" s="196"/>
      <c r="C62" s="6" t="s">
        <v>64</v>
      </c>
      <c r="D62" s="7" t="s">
        <v>738</v>
      </c>
      <c r="E62" s="166" t="s">
        <v>361</v>
      </c>
      <c r="F62" s="7" t="s">
        <v>429</v>
      </c>
      <c r="G62" s="7" t="s">
        <v>818</v>
      </c>
      <c r="H62" s="166" t="s">
        <v>753</v>
      </c>
      <c r="I62" s="47" t="s">
        <v>816</v>
      </c>
      <c r="J62" s="218">
        <v>16</v>
      </c>
      <c r="K62" s="220"/>
      <c r="L62" s="220"/>
      <c r="M62" s="166"/>
      <c r="N62" s="47" t="s">
        <v>241</v>
      </c>
      <c r="O62" s="249">
        <v>4</v>
      </c>
      <c r="P62" s="47" t="s">
        <v>361</v>
      </c>
      <c r="Q62" s="47" t="s">
        <v>361</v>
      </c>
      <c r="R62" s="220" t="s">
        <v>886</v>
      </c>
      <c r="S62" s="220" t="s">
        <v>275</v>
      </c>
      <c r="T62" s="18" t="e">
        <f>(#REF!-#REF!)/1.2</f>
        <v>#REF!</v>
      </c>
      <c r="U62" s="51" t="e">
        <f>T62*1.2/#REF!</f>
        <v>#REF!</v>
      </c>
      <c r="V62" s="52">
        <v>344.52</v>
      </c>
      <c r="W62" s="53" t="e">
        <f>V62*#REF!</f>
        <v>#REF!</v>
      </c>
      <c r="X62" s="55" t="e">
        <f>(W62/#REF!)-1</f>
        <v>#REF!</v>
      </c>
      <c r="Y62" s="54" t="e">
        <f>W62-#REF!</f>
        <v>#REF!</v>
      </c>
      <c r="Z62" s="55" t="e">
        <f>1-(#REF!/W62)</f>
        <v>#REF!</v>
      </c>
      <c r="AA62" s="64">
        <v>396.2</v>
      </c>
      <c r="AB62" s="63" t="e">
        <f>AA62*#REF!</f>
        <v>#REF!</v>
      </c>
      <c r="AC62" s="62" t="e">
        <f>(AB62/#REF!)-1</f>
        <v>#REF!</v>
      </c>
      <c r="AD62" s="63" t="e">
        <f>AB62-#REF!</f>
        <v>#REF!</v>
      </c>
      <c r="AE62" s="154" t="e">
        <f>1-(#REF!/AB62)</f>
        <v>#REF!</v>
      </c>
      <c r="AF62" s="157" t="s">
        <v>595</v>
      </c>
      <c r="AG62" s="7" t="s">
        <v>429</v>
      </c>
      <c r="AH62" s="220" t="s">
        <v>65</v>
      </c>
      <c r="AI62" s="220" t="s">
        <v>257</v>
      </c>
      <c r="AJ62" s="163"/>
    </row>
    <row r="63" spans="1:36" ht="110.1" customHeight="1">
      <c r="A63" s="266" t="s">
        <v>942</v>
      </c>
      <c r="B63" s="196"/>
      <c r="C63" s="6" t="s">
        <v>66</v>
      </c>
      <c r="D63" s="7" t="s">
        <v>738</v>
      </c>
      <c r="E63" s="166" t="s">
        <v>361</v>
      </c>
      <c r="F63" s="7" t="s">
        <v>430</v>
      </c>
      <c r="G63" s="7" t="s">
        <v>818</v>
      </c>
      <c r="H63" s="166" t="s">
        <v>753</v>
      </c>
      <c r="I63" s="166" t="s">
        <v>816</v>
      </c>
      <c r="J63" s="218">
        <v>16</v>
      </c>
      <c r="K63" s="220"/>
      <c r="L63" s="220"/>
      <c r="M63" s="166"/>
      <c r="N63" s="47" t="s">
        <v>241</v>
      </c>
      <c r="O63" s="249">
        <v>4</v>
      </c>
      <c r="P63" s="47" t="s">
        <v>361</v>
      </c>
      <c r="Q63" s="47" t="s">
        <v>361</v>
      </c>
      <c r="R63" s="220" t="s">
        <v>886</v>
      </c>
      <c r="S63" s="220" t="s">
        <v>275</v>
      </c>
      <c r="T63" s="18" t="e">
        <f>(#REF!-#REF!)/1.2</f>
        <v>#REF!</v>
      </c>
      <c r="U63" s="51" t="e">
        <f>T63*1.2/#REF!</f>
        <v>#REF!</v>
      </c>
      <c r="V63" s="52">
        <v>344.52</v>
      </c>
      <c r="W63" s="53" t="e">
        <f>V63*#REF!</f>
        <v>#REF!</v>
      </c>
      <c r="X63" s="55" t="e">
        <f>(W63/#REF!)-1</f>
        <v>#REF!</v>
      </c>
      <c r="Y63" s="54" t="e">
        <f>W63-#REF!</f>
        <v>#REF!</v>
      </c>
      <c r="Z63" s="55" t="e">
        <f>1-(#REF!/W63)</f>
        <v>#REF!</v>
      </c>
      <c r="AA63" s="64">
        <v>396.2</v>
      </c>
      <c r="AB63" s="63" t="e">
        <f>AA63*#REF!</f>
        <v>#REF!</v>
      </c>
      <c r="AC63" s="62" t="e">
        <f>(AB63/#REF!)-1</f>
        <v>#REF!</v>
      </c>
      <c r="AD63" s="63" t="e">
        <f>AB63-#REF!</f>
        <v>#REF!</v>
      </c>
      <c r="AE63" s="154" t="e">
        <f>1-(#REF!/AB63)</f>
        <v>#REF!</v>
      </c>
      <c r="AF63" s="157" t="s">
        <v>595</v>
      </c>
      <c r="AG63" s="7" t="s">
        <v>430</v>
      </c>
      <c r="AH63" s="220" t="s">
        <v>67</v>
      </c>
      <c r="AI63" s="220" t="s">
        <v>258</v>
      </c>
      <c r="AJ63" s="163"/>
    </row>
    <row r="64" spans="1:36" ht="120" customHeight="1">
      <c r="A64" s="266" t="s">
        <v>943</v>
      </c>
      <c r="B64" s="196"/>
      <c r="C64" s="6" t="s">
        <v>68</v>
      </c>
      <c r="D64" s="7" t="s">
        <v>738</v>
      </c>
      <c r="E64" s="166" t="s">
        <v>361</v>
      </c>
      <c r="F64" s="7" t="s">
        <v>431</v>
      </c>
      <c r="G64" s="7" t="s">
        <v>818</v>
      </c>
      <c r="H64" s="166" t="s">
        <v>753</v>
      </c>
      <c r="I64" s="47" t="s">
        <v>817</v>
      </c>
      <c r="J64" s="218">
        <v>16</v>
      </c>
      <c r="K64" s="220"/>
      <c r="L64" s="220"/>
      <c r="M64" s="166"/>
      <c r="N64" s="47" t="s">
        <v>241</v>
      </c>
      <c r="O64" s="249">
        <v>5.5</v>
      </c>
      <c r="P64" s="47" t="s">
        <v>361</v>
      </c>
      <c r="Q64" s="47" t="s">
        <v>361</v>
      </c>
      <c r="R64" s="220" t="s">
        <v>886</v>
      </c>
      <c r="S64" s="220" t="s">
        <v>275</v>
      </c>
      <c r="T64" s="18" t="e">
        <f>(#REF!-#REF!)/1.2</f>
        <v>#REF!</v>
      </c>
      <c r="U64" s="51" t="e">
        <f>T64*1.2/#REF!</f>
        <v>#REF!</v>
      </c>
      <c r="V64" s="52">
        <v>591.36</v>
      </c>
      <c r="W64" s="53" t="e">
        <f>V64*#REF!</f>
        <v>#REF!</v>
      </c>
      <c r="X64" s="55" t="e">
        <f>(W64/#REF!)-1</f>
        <v>#REF!</v>
      </c>
      <c r="Y64" s="54" t="e">
        <f>W64-#REF!</f>
        <v>#REF!</v>
      </c>
      <c r="Z64" s="55" t="e">
        <f>1-(#REF!/W64)</f>
        <v>#REF!</v>
      </c>
      <c r="AA64" s="64">
        <v>680.06</v>
      </c>
      <c r="AB64" s="63" t="e">
        <f>AA64*#REF!</f>
        <v>#REF!</v>
      </c>
      <c r="AC64" s="62" t="e">
        <f>(AB64/#REF!)-1</f>
        <v>#REF!</v>
      </c>
      <c r="AD64" s="63" t="e">
        <f>AB64-#REF!</f>
        <v>#REF!</v>
      </c>
      <c r="AE64" s="154" t="e">
        <f>1-(#REF!/AB64)</f>
        <v>#REF!</v>
      </c>
      <c r="AF64" s="157" t="s">
        <v>596</v>
      </c>
      <c r="AG64" s="7" t="s">
        <v>431</v>
      </c>
      <c r="AH64" s="220" t="s">
        <v>69</v>
      </c>
      <c r="AI64" s="220" t="s">
        <v>259</v>
      </c>
      <c r="AJ64" s="163"/>
    </row>
    <row r="65" spans="1:36" ht="120" customHeight="1">
      <c r="A65" s="266" t="s">
        <v>944</v>
      </c>
      <c r="B65" s="196"/>
      <c r="C65" s="6" t="s">
        <v>70</v>
      </c>
      <c r="D65" s="7" t="s">
        <v>738</v>
      </c>
      <c r="E65" s="166" t="s">
        <v>361</v>
      </c>
      <c r="F65" s="7" t="s">
        <v>432</v>
      </c>
      <c r="G65" s="7" t="s">
        <v>818</v>
      </c>
      <c r="H65" s="166" t="s">
        <v>753</v>
      </c>
      <c r="I65" s="166" t="s">
        <v>817</v>
      </c>
      <c r="J65" s="218">
        <v>16</v>
      </c>
      <c r="K65" s="220"/>
      <c r="L65" s="220"/>
      <c r="M65" s="166"/>
      <c r="N65" s="47" t="s">
        <v>241</v>
      </c>
      <c r="O65" s="249">
        <v>5.5</v>
      </c>
      <c r="P65" s="47" t="s">
        <v>361</v>
      </c>
      <c r="Q65" s="47" t="s">
        <v>361</v>
      </c>
      <c r="R65" s="220" t="s">
        <v>886</v>
      </c>
      <c r="S65" s="220" t="s">
        <v>275</v>
      </c>
      <c r="T65" s="18" t="e">
        <f>(#REF!-#REF!)/1.2</f>
        <v>#REF!</v>
      </c>
      <c r="U65" s="51" t="e">
        <f>T65*1.2/#REF!</f>
        <v>#REF!</v>
      </c>
      <c r="V65" s="52">
        <v>591.36</v>
      </c>
      <c r="W65" s="53" t="e">
        <f>V65*#REF!</f>
        <v>#REF!</v>
      </c>
      <c r="X65" s="55" t="e">
        <f>(W65/#REF!)-1</f>
        <v>#REF!</v>
      </c>
      <c r="Y65" s="54" t="e">
        <f>W65-#REF!</f>
        <v>#REF!</v>
      </c>
      <c r="Z65" s="55" t="e">
        <f>1-(#REF!/W65)</f>
        <v>#REF!</v>
      </c>
      <c r="AA65" s="64">
        <v>680.06</v>
      </c>
      <c r="AB65" s="63" t="e">
        <f>AA65*#REF!</f>
        <v>#REF!</v>
      </c>
      <c r="AC65" s="62" t="e">
        <f>(AB65/#REF!)-1</f>
        <v>#REF!</v>
      </c>
      <c r="AD65" s="63" t="e">
        <f>AB65-#REF!</f>
        <v>#REF!</v>
      </c>
      <c r="AE65" s="154" t="e">
        <f>1-(#REF!/AB65)</f>
        <v>#REF!</v>
      </c>
      <c r="AF65" s="157" t="s">
        <v>596</v>
      </c>
      <c r="AG65" s="7" t="s">
        <v>432</v>
      </c>
      <c r="AH65" s="220" t="s">
        <v>71</v>
      </c>
      <c r="AI65" s="220" t="s">
        <v>260</v>
      </c>
      <c r="AJ65" s="163"/>
    </row>
    <row r="66" spans="1:36" ht="90" customHeight="1">
      <c r="A66" s="266" t="s">
        <v>945</v>
      </c>
      <c r="B66" s="196"/>
      <c r="C66" s="6" t="s">
        <v>72</v>
      </c>
      <c r="D66" s="7" t="s">
        <v>738</v>
      </c>
      <c r="E66" s="166" t="s">
        <v>361</v>
      </c>
      <c r="F66" s="7" t="s">
        <v>433</v>
      </c>
      <c r="G66" s="7" t="s">
        <v>819</v>
      </c>
      <c r="H66" s="166" t="s">
        <v>753</v>
      </c>
      <c r="I66" s="47" t="s">
        <v>243</v>
      </c>
      <c r="J66" s="218">
        <v>16</v>
      </c>
      <c r="K66" s="220"/>
      <c r="L66" s="220"/>
      <c r="M66" s="166"/>
      <c r="N66" s="47" t="s">
        <v>241</v>
      </c>
      <c r="O66" s="249">
        <v>3</v>
      </c>
      <c r="P66" s="47" t="s">
        <v>361</v>
      </c>
      <c r="Q66" s="47" t="s">
        <v>361</v>
      </c>
      <c r="R66" s="220" t="s">
        <v>886</v>
      </c>
      <c r="S66" s="220" t="s">
        <v>751</v>
      </c>
      <c r="T66" s="18" t="e">
        <f>(#REF!-#REF!)/1.2</f>
        <v>#REF!</v>
      </c>
      <c r="U66" s="51" t="e">
        <f>T66*1.2/#REF!</f>
        <v>#REF!</v>
      </c>
      <c r="V66" s="52">
        <v>897.6</v>
      </c>
      <c r="W66" s="53" t="e">
        <f>V66*#REF!</f>
        <v>#REF!</v>
      </c>
      <c r="X66" s="55" t="e">
        <f>(W66/#REF!)-1</f>
        <v>#REF!</v>
      </c>
      <c r="Y66" s="54" t="e">
        <f>W66-#REF!</f>
        <v>#REF!</v>
      </c>
      <c r="Z66" s="55" t="e">
        <f>1-(#REF!/W66)</f>
        <v>#REF!</v>
      </c>
      <c r="AA66" s="64">
        <v>1032.24</v>
      </c>
      <c r="AB66" s="63" t="e">
        <f>AA66*#REF!</f>
        <v>#REF!</v>
      </c>
      <c r="AC66" s="62" t="e">
        <f>(AB66/#REF!)-1</f>
        <v>#REF!</v>
      </c>
      <c r="AD66" s="63" t="e">
        <f>AB66-#REF!</f>
        <v>#REF!</v>
      </c>
      <c r="AE66" s="154" t="e">
        <f>1-(#REF!/AB66)</f>
        <v>#REF!</v>
      </c>
      <c r="AF66" s="157" t="s">
        <v>676</v>
      </c>
      <c r="AG66" s="7" t="s">
        <v>433</v>
      </c>
      <c r="AH66" s="220" t="s">
        <v>489</v>
      </c>
      <c r="AI66" s="220" t="s">
        <v>349</v>
      </c>
      <c r="AJ66" s="163"/>
    </row>
    <row r="67" spans="1:36" ht="90" customHeight="1">
      <c r="A67" s="266" t="s">
        <v>946</v>
      </c>
      <c r="B67" s="196"/>
      <c r="C67" s="6" t="s">
        <v>73</v>
      </c>
      <c r="D67" s="7" t="s">
        <v>738</v>
      </c>
      <c r="E67" s="166" t="s">
        <v>361</v>
      </c>
      <c r="F67" s="7" t="s">
        <v>434</v>
      </c>
      <c r="G67" s="7" t="s">
        <v>819</v>
      </c>
      <c r="H67" s="166" t="s">
        <v>753</v>
      </c>
      <c r="I67" s="47" t="s">
        <v>243</v>
      </c>
      <c r="J67" s="218">
        <v>16</v>
      </c>
      <c r="K67" s="220"/>
      <c r="L67" s="220"/>
      <c r="M67" s="166"/>
      <c r="N67" s="47" t="s">
        <v>241</v>
      </c>
      <c r="O67" s="249">
        <v>3</v>
      </c>
      <c r="P67" s="47" t="s">
        <v>361</v>
      </c>
      <c r="Q67" s="47" t="s">
        <v>361</v>
      </c>
      <c r="R67" s="220" t="s">
        <v>886</v>
      </c>
      <c r="S67" s="220" t="s">
        <v>751</v>
      </c>
      <c r="T67" s="18" t="e">
        <f>(#REF!-#REF!)/1.2</f>
        <v>#REF!</v>
      </c>
      <c r="U67" s="51" t="e">
        <f>T67*1.2/#REF!</f>
        <v>#REF!</v>
      </c>
      <c r="V67" s="52">
        <v>897.6</v>
      </c>
      <c r="W67" s="53" t="e">
        <f>V67*#REF!</f>
        <v>#REF!</v>
      </c>
      <c r="X67" s="55" t="e">
        <f>(W67/#REF!)-1</f>
        <v>#REF!</v>
      </c>
      <c r="Y67" s="54" t="e">
        <f>W67-#REF!</f>
        <v>#REF!</v>
      </c>
      <c r="Z67" s="55" t="e">
        <f>1-(#REF!/W67)</f>
        <v>#REF!</v>
      </c>
      <c r="AA67" s="64">
        <v>1032.24</v>
      </c>
      <c r="AB67" s="63" t="e">
        <f>AA67*#REF!</f>
        <v>#REF!</v>
      </c>
      <c r="AC67" s="62" t="e">
        <f>(AB67/#REF!)-1</f>
        <v>#REF!</v>
      </c>
      <c r="AD67" s="63" t="e">
        <f>AB67-#REF!</f>
        <v>#REF!</v>
      </c>
      <c r="AE67" s="154" t="e">
        <f>1-(#REF!/AB67)</f>
        <v>#REF!</v>
      </c>
      <c r="AF67" s="157" t="s">
        <v>676</v>
      </c>
      <c r="AG67" s="7" t="s">
        <v>434</v>
      </c>
      <c r="AH67" s="220" t="s">
        <v>490</v>
      </c>
      <c r="AI67" s="220" t="s">
        <v>349</v>
      </c>
      <c r="AJ67" s="163"/>
    </row>
    <row r="68" spans="1:36" ht="90" customHeight="1">
      <c r="A68" s="266" t="s">
        <v>947</v>
      </c>
      <c r="B68" s="196"/>
      <c r="C68" s="6" t="s">
        <v>718</v>
      </c>
      <c r="D68" s="7" t="s">
        <v>738</v>
      </c>
      <c r="E68" s="166" t="s">
        <v>361</v>
      </c>
      <c r="F68" s="7" t="s">
        <v>720</v>
      </c>
      <c r="G68" s="7" t="s">
        <v>820</v>
      </c>
      <c r="H68" s="166" t="s">
        <v>753</v>
      </c>
      <c r="I68" s="150" t="s">
        <v>721</v>
      </c>
      <c r="J68" s="218">
        <v>16</v>
      </c>
      <c r="K68" s="220"/>
      <c r="L68" s="220"/>
      <c r="M68" s="166"/>
      <c r="N68" s="150" t="s">
        <v>241</v>
      </c>
      <c r="O68" s="249">
        <v>7.1</v>
      </c>
      <c r="P68" s="150"/>
      <c r="Q68" s="150"/>
      <c r="R68" s="220" t="s">
        <v>886</v>
      </c>
      <c r="S68" s="220" t="s">
        <v>275</v>
      </c>
      <c r="T68" s="18" t="e">
        <f>(#REF!-#REF!)/1.2</f>
        <v>#REF!</v>
      </c>
      <c r="U68" s="51" t="e">
        <f>T68*1.2/#REF!</f>
        <v>#REF!</v>
      </c>
      <c r="V68" s="52">
        <v>464.64</v>
      </c>
      <c r="W68" s="53" t="e">
        <f>V68*#REF!</f>
        <v>#REF!</v>
      </c>
      <c r="X68" s="55" t="e">
        <f>(W68/#REF!)-1</f>
        <v>#REF!</v>
      </c>
      <c r="Y68" s="54" t="e">
        <f>W68-#REF!</f>
        <v>#REF!</v>
      </c>
      <c r="Z68" s="55" t="e">
        <f>1-(#REF!/W68)</f>
        <v>#REF!</v>
      </c>
      <c r="AA68" s="64">
        <v>534.34</v>
      </c>
      <c r="AB68" s="63" t="e">
        <f>AA68*#REF!</f>
        <v>#REF!</v>
      </c>
      <c r="AC68" s="62" t="e">
        <f>(AB68/#REF!)-1</f>
        <v>#REF!</v>
      </c>
      <c r="AD68" s="63" t="e">
        <f>AB68-#REF!</f>
        <v>#REF!</v>
      </c>
      <c r="AE68" s="154" t="e">
        <f>1-(#REF!/AB68)</f>
        <v>#REF!</v>
      </c>
      <c r="AF68" s="157" t="s">
        <v>722</v>
      </c>
      <c r="AG68" s="7" t="s">
        <v>720</v>
      </c>
      <c r="AH68" s="220"/>
      <c r="AI68" s="220" t="s">
        <v>719</v>
      </c>
      <c r="AJ68" s="163"/>
    </row>
    <row r="69" spans="1:36" ht="92.25" customHeight="1">
      <c r="A69" s="266" t="s">
        <v>948</v>
      </c>
      <c r="B69" s="192"/>
      <c r="C69" s="6" t="s">
        <v>74</v>
      </c>
      <c r="D69" s="7" t="s">
        <v>738</v>
      </c>
      <c r="E69" s="166" t="s">
        <v>361</v>
      </c>
      <c r="F69" s="7" t="s">
        <v>435</v>
      </c>
      <c r="G69" s="7" t="s">
        <v>820</v>
      </c>
      <c r="H69" s="166" t="s">
        <v>753</v>
      </c>
      <c r="I69" s="47" t="s">
        <v>517</v>
      </c>
      <c r="J69" s="218">
        <v>16</v>
      </c>
      <c r="K69" s="220"/>
      <c r="L69" s="220"/>
      <c r="M69" s="166"/>
      <c r="N69" s="47" t="s">
        <v>241</v>
      </c>
      <c r="O69" s="249">
        <v>11.5</v>
      </c>
      <c r="P69" s="47" t="s">
        <v>361</v>
      </c>
      <c r="Q69" s="47" t="s">
        <v>361</v>
      </c>
      <c r="R69" s="220" t="s">
        <v>886</v>
      </c>
      <c r="S69" s="220" t="s">
        <v>275</v>
      </c>
      <c r="T69" s="18" t="e">
        <f>(#REF!-#REF!)/1.2</f>
        <v>#REF!</v>
      </c>
      <c r="U69" s="51" t="e">
        <f>T69*1.2/#REF!</f>
        <v>#REF!</v>
      </c>
      <c r="V69" s="52">
        <v>604.55999999999995</v>
      </c>
      <c r="W69" s="53" t="e">
        <f>V69*#REF!</f>
        <v>#REF!</v>
      </c>
      <c r="X69" s="55" t="e">
        <f>(W69/#REF!)-1</f>
        <v>#REF!</v>
      </c>
      <c r="Y69" s="54" t="e">
        <f>W69-#REF!</f>
        <v>#REF!</v>
      </c>
      <c r="Z69" s="55" t="e">
        <f>1-(#REF!/W69)</f>
        <v>#REF!</v>
      </c>
      <c r="AA69" s="64">
        <v>695.24</v>
      </c>
      <c r="AB69" s="63" t="e">
        <f>AA69*#REF!</f>
        <v>#REF!</v>
      </c>
      <c r="AC69" s="62" t="e">
        <f>(AB69/#REF!)-1</f>
        <v>#REF!</v>
      </c>
      <c r="AD69" s="63" t="e">
        <f>AB69-#REF!</f>
        <v>#REF!</v>
      </c>
      <c r="AE69" s="154" t="e">
        <f>1-(#REF!/AB69)</f>
        <v>#REF!</v>
      </c>
      <c r="AF69" s="157" t="s">
        <v>597</v>
      </c>
      <c r="AG69" s="7" t="s">
        <v>435</v>
      </c>
      <c r="AH69" s="220"/>
      <c r="AI69" s="220" t="s">
        <v>244</v>
      </c>
      <c r="AJ69" s="163"/>
    </row>
    <row r="70" spans="1:36" ht="90" customHeight="1" thickBot="1">
      <c r="A70" s="266" t="s">
        <v>949</v>
      </c>
      <c r="B70" s="193"/>
      <c r="C70" s="104" t="s">
        <v>75</v>
      </c>
      <c r="D70" s="105" t="s">
        <v>738</v>
      </c>
      <c r="E70" s="106" t="s">
        <v>361</v>
      </c>
      <c r="F70" s="105" t="s">
        <v>422</v>
      </c>
      <c r="G70" s="105" t="s">
        <v>821</v>
      </c>
      <c r="H70" s="106" t="s">
        <v>753</v>
      </c>
      <c r="I70" s="106" t="s">
        <v>265</v>
      </c>
      <c r="J70" s="106">
        <v>16</v>
      </c>
      <c r="K70" s="226"/>
      <c r="L70" s="226"/>
      <c r="M70" s="106"/>
      <c r="N70" s="106" t="s">
        <v>241</v>
      </c>
      <c r="O70" s="250">
        <v>1.46</v>
      </c>
      <c r="P70" s="106" t="s">
        <v>361</v>
      </c>
      <c r="Q70" s="106" t="s">
        <v>361</v>
      </c>
      <c r="R70" s="226" t="s">
        <v>886</v>
      </c>
      <c r="S70" s="226" t="s">
        <v>275</v>
      </c>
      <c r="T70" s="110" t="e">
        <f>(#REF!-#REF!)/1.2</f>
        <v>#REF!</v>
      </c>
      <c r="U70" s="111" t="e">
        <f>T70*1.2/#REF!</f>
        <v>#REF!</v>
      </c>
      <c r="V70" s="112">
        <v>183.48</v>
      </c>
      <c r="W70" s="113" t="e">
        <f>V70*#REF!</f>
        <v>#REF!</v>
      </c>
      <c r="X70" s="114" t="e">
        <f>(W70/#REF!)-1</f>
        <v>#REF!</v>
      </c>
      <c r="Y70" s="115" t="e">
        <f>W70-#REF!</f>
        <v>#REF!</v>
      </c>
      <c r="Z70" s="114" t="e">
        <f>1-(#REF!/W70)</f>
        <v>#REF!</v>
      </c>
      <c r="AA70" s="116">
        <v>211</v>
      </c>
      <c r="AB70" s="117" t="e">
        <f>AA70*#REF!</f>
        <v>#REF!</v>
      </c>
      <c r="AC70" s="118" t="e">
        <f>(AB70/#REF!)-1</f>
        <v>#REF!</v>
      </c>
      <c r="AD70" s="117" t="e">
        <f>AB70-#REF!</f>
        <v>#REF!</v>
      </c>
      <c r="AE70" s="155" t="e">
        <f>1-(#REF!/AB70)</f>
        <v>#REF!</v>
      </c>
      <c r="AF70" s="157" t="s">
        <v>598</v>
      </c>
      <c r="AG70" s="105" t="s">
        <v>422</v>
      </c>
      <c r="AH70" s="226" t="s">
        <v>76</v>
      </c>
      <c r="AI70" s="226">
        <v>160444</v>
      </c>
      <c r="AJ70" s="163"/>
    </row>
    <row r="71" spans="1:36" ht="30" customHeight="1">
      <c r="A71" s="266" t="s">
        <v>950</v>
      </c>
      <c r="B71" s="181"/>
      <c r="C71" s="77" t="s">
        <v>77</v>
      </c>
      <c r="D71" s="78" t="s">
        <v>739</v>
      </c>
      <c r="E71" s="78" t="s">
        <v>741</v>
      </c>
      <c r="F71" s="78" t="s">
        <v>350</v>
      </c>
      <c r="G71" s="78" t="s">
        <v>824</v>
      </c>
      <c r="H71" s="165" t="s">
        <v>753</v>
      </c>
      <c r="I71" s="46" t="s">
        <v>266</v>
      </c>
      <c r="J71" s="217">
        <v>16</v>
      </c>
      <c r="K71" s="228">
        <v>12</v>
      </c>
      <c r="L71" s="228" t="s">
        <v>822</v>
      </c>
      <c r="M71" s="46"/>
      <c r="N71" s="46" t="s">
        <v>241</v>
      </c>
      <c r="O71" s="259">
        <v>13</v>
      </c>
      <c r="P71" s="79" t="s">
        <v>599</v>
      </c>
      <c r="Q71" s="46" t="s">
        <v>361</v>
      </c>
      <c r="R71" s="228"/>
      <c r="S71" s="228"/>
      <c r="T71" s="80" t="e">
        <f>(#REF!-#REF!)/1.2</f>
        <v>#REF!</v>
      </c>
      <c r="U71" s="81" t="e">
        <f>T71*1.2/#REF!</f>
        <v>#REF!</v>
      </c>
      <c r="V71" s="82">
        <v>799.92</v>
      </c>
      <c r="W71" s="83" t="e">
        <f>V71*#REF!</f>
        <v>#REF!</v>
      </c>
      <c r="X71" s="84" t="e">
        <f>(W71/#REF!)-1</f>
        <v>#REF!</v>
      </c>
      <c r="Y71" s="85" t="e">
        <f>W71-#REF!</f>
        <v>#REF!</v>
      </c>
      <c r="Z71" s="84" t="e">
        <f>1-(#REF!/W71)</f>
        <v>#REF!</v>
      </c>
      <c r="AA71" s="86">
        <v>919.91</v>
      </c>
      <c r="AB71" s="87" t="e">
        <f>AA71*#REF!</f>
        <v>#REF!</v>
      </c>
      <c r="AC71" s="88" t="e">
        <f>(AB71/#REF!)-1</f>
        <v>#REF!</v>
      </c>
      <c r="AD71" s="87" t="e">
        <f>AB71-#REF!</f>
        <v>#REF!</v>
      </c>
      <c r="AE71" s="88" t="e">
        <f>1-(#REF!/AB71)</f>
        <v>#REF!</v>
      </c>
      <c r="AF71" s="157" t="s">
        <v>600</v>
      </c>
      <c r="AG71" s="78" t="s">
        <v>350</v>
      </c>
      <c r="AH71" s="228" t="s">
        <v>78</v>
      </c>
      <c r="AI71" s="228"/>
      <c r="AJ71" s="163"/>
    </row>
    <row r="72" spans="1:36" ht="30" customHeight="1">
      <c r="A72" s="266" t="s">
        <v>951</v>
      </c>
      <c r="B72" s="182"/>
      <c r="C72" s="6" t="s">
        <v>355</v>
      </c>
      <c r="D72" s="7" t="s">
        <v>739</v>
      </c>
      <c r="E72" s="7" t="s">
        <v>740</v>
      </c>
      <c r="F72" s="7" t="s">
        <v>417</v>
      </c>
      <c r="G72" s="7" t="s">
        <v>825</v>
      </c>
      <c r="H72" s="166" t="s">
        <v>753</v>
      </c>
      <c r="I72" s="41" t="s">
        <v>266</v>
      </c>
      <c r="J72" s="218">
        <v>16</v>
      </c>
      <c r="K72" s="220">
        <v>12</v>
      </c>
      <c r="L72" s="220" t="s">
        <v>822</v>
      </c>
      <c r="M72" s="41"/>
      <c r="N72" s="41" t="s">
        <v>241</v>
      </c>
      <c r="O72" s="249">
        <v>13</v>
      </c>
      <c r="P72" s="79" t="s">
        <v>599</v>
      </c>
      <c r="Q72" s="34" t="s">
        <v>523</v>
      </c>
      <c r="R72" s="255" t="s">
        <v>886</v>
      </c>
      <c r="S72" s="220"/>
      <c r="T72" s="18" t="e">
        <f>(#REF!-#REF!)/1.2</f>
        <v>#REF!</v>
      </c>
      <c r="U72" s="51" t="e">
        <f>T72*1.2/#REF!</f>
        <v>#REF!</v>
      </c>
      <c r="V72" s="52">
        <v>799.92</v>
      </c>
      <c r="W72" s="53" t="e">
        <f>V72*#REF!</f>
        <v>#REF!</v>
      </c>
      <c r="X72" s="55" t="e">
        <f>(W72/#REF!)-1</f>
        <v>#REF!</v>
      </c>
      <c r="Y72" s="54" t="e">
        <f>W72-#REF!</f>
        <v>#REF!</v>
      </c>
      <c r="Z72" s="55" t="e">
        <f>1-(#REF!/W72)</f>
        <v>#REF!</v>
      </c>
      <c r="AA72" s="64">
        <v>919.91</v>
      </c>
      <c r="AB72" s="63" t="e">
        <f>AA72*#REF!</f>
        <v>#REF!</v>
      </c>
      <c r="AC72" s="62" t="e">
        <f>(AB72/#REF!)-1</f>
        <v>#REF!</v>
      </c>
      <c r="AD72" s="63" t="e">
        <f>AB72-#REF!</f>
        <v>#REF!</v>
      </c>
      <c r="AE72" s="62" t="e">
        <f>1-(#REF!/AB72)</f>
        <v>#REF!</v>
      </c>
      <c r="AF72" s="157" t="s">
        <v>601</v>
      </c>
      <c r="AG72" s="7" t="s">
        <v>417</v>
      </c>
      <c r="AH72" s="220" t="s">
        <v>484</v>
      </c>
      <c r="AI72" s="220" t="s">
        <v>272</v>
      </c>
      <c r="AJ72" s="163"/>
    </row>
    <row r="73" spans="1:36" ht="30" customHeight="1">
      <c r="A73" s="266" t="s">
        <v>950</v>
      </c>
      <c r="B73" s="182"/>
      <c r="C73" s="6" t="s">
        <v>79</v>
      </c>
      <c r="D73" s="7" t="s">
        <v>739</v>
      </c>
      <c r="E73" s="7" t="s">
        <v>741</v>
      </c>
      <c r="F73" s="7" t="s">
        <v>351</v>
      </c>
      <c r="G73" s="78" t="s">
        <v>824</v>
      </c>
      <c r="H73" s="166" t="s">
        <v>753</v>
      </c>
      <c r="I73" s="38" t="s">
        <v>267</v>
      </c>
      <c r="J73" s="218">
        <v>16</v>
      </c>
      <c r="K73" s="220">
        <v>12</v>
      </c>
      <c r="L73" s="220" t="s">
        <v>822</v>
      </c>
      <c r="M73" s="38"/>
      <c r="N73" s="38" t="s">
        <v>241</v>
      </c>
      <c r="O73" s="249">
        <v>25</v>
      </c>
      <c r="P73" s="79" t="s">
        <v>599</v>
      </c>
      <c r="Q73" s="38" t="s">
        <v>361</v>
      </c>
      <c r="R73" s="220"/>
      <c r="S73" s="220"/>
      <c r="T73" s="18" t="e">
        <f>(#REF!-#REF!)/1.2</f>
        <v>#REF!</v>
      </c>
      <c r="U73" s="51" t="e">
        <f>T73*1.2/#REF!</f>
        <v>#REF!</v>
      </c>
      <c r="V73" s="52">
        <v>1285.68</v>
      </c>
      <c r="W73" s="53" t="e">
        <f>V73*#REF!</f>
        <v>#REF!</v>
      </c>
      <c r="X73" s="55" t="e">
        <f>(W73/#REF!)-1</f>
        <v>#REF!</v>
      </c>
      <c r="Y73" s="54" t="e">
        <f>W73-#REF!</f>
        <v>#REF!</v>
      </c>
      <c r="Z73" s="55" t="e">
        <f>1-(#REF!/W73)</f>
        <v>#REF!</v>
      </c>
      <c r="AA73" s="64">
        <v>1478.53</v>
      </c>
      <c r="AB73" s="63" t="e">
        <f>AA73*#REF!</f>
        <v>#REF!</v>
      </c>
      <c r="AC73" s="62" t="e">
        <f>(AB73/#REF!)-1</f>
        <v>#REF!</v>
      </c>
      <c r="AD73" s="63" t="e">
        <f>AB73-#REF!</f>
        <v>#REF!</v>
      </c>
      <c r="AE73" s="62" t="e">
        <f>1-(#REF!/AB73)</f>
        <v>#REF!</v>
      </c>
      <c r="AF73" s="157" t="s">
        <v>602</v>
      </c>
      <c r="AG73" s="7" t="s">
        <v>351</v>
      </c>
      <c r="AH73" s="220" t="s">
        <v>80</v>
      </c>
      <c r="AI73" s="220"/>
      <c r="AJ73" s="163"/>
    </row>
    <row r="74" spans="1:36" ht="30" customHeight="1">
      <c r="A74" s="266" t="s">
        <v>952</v>
      </c>
      <c r="B74" s="182"/>
      <c r="C74" s="6" t="s">
        <v>356</v>
      </c>
      <c r="D74" s="7" t="s">
        <v>739</v>
      </c>
      <c r="E74" s="7" t="s">
        <v>740</v>
      </c>
      <c r="F74" s="7" t="s">
        <v>418</v>
      </c>
      <c r="G74" s="7" t="s">
        <v>825</v>
      </c>
      <c r="H74" s="166" t="s">
        <v>753</v>
      </c>
      <c r="I74" s="41" t="s">
        <v>267</v>
      </c>
      <c r="J74" s="218">
        <v>16</v>
      </c>
      <c r="K74" s="220">
        <v>12</v>
      </c>
      <c r="L74" s="220" t="s">
        <v>822</v>
      </c>
      <c r="M74" s="41"/>
      <c r="N74" s="41" t="s">
        <v>241</v>
      </c>
      <c r="O74" s="249">
        <v>25</v>
      </c>
      <c r="P74" s="79" t="s">
        <v>599</v>
      </c>
      <c r="Q74" s="34" t="s">
        <v>523</v>
      </c>
      <c r="R74" s="255" t="s">
        <v>886</v>
      </c>
      <c r="S74" s="220"/>
      <c r="T74" s="18" t="e">
        <f>(#REF!-#REF!)/1.2</f>
        <v>#REF!</v>
      </c>
      <c r="U74" s="51" t="e">
        <f>T74*1.2/#REF!</f>
        <v>#REF!</v>
      </c>
      <c r="V74" s="52">
        <v>1285.68</v>
      </c>
      <c r="W74" s="53" t="e">
        <f>V74*#REF!</f>
        <v>#REF!</v>
      </c>
      <c r="X74" s="55" t="e">
        <f>(W74/#REF!)-1</f>
        <v>#REF!</v>
      </c>
      <c r="Y74" s="54" t="e">
        <f>W74-#REF!</f>
        <v>#REF!</v>
      </c>
      <c r="Z74" s="55" t="e">
        <f>1-(#REF!/W74)</f>
        <v>#REF!</v>
      </c>
      <c r="AA74" s="64">
        <v>1478.53</v>
      </c>
      <c r="AB74" s="63" t="e">
        <f>AA74*#REF!</f>
        <v>#REF!</v>
      </c>
      <c r="AC74" s="62" t="e">
        <f>(AB74/#REF!)-1</f>
        <v>#REF!</v>
      </c>
      <c r="AD74" s="63" t="e">
        <f>AB74-#REF!</f>
        <v>#REF!</v>
      </c>
      <c r="AE74" s="62" t="e">
        <f>1-(#REF!/AB74)</f>
        <v>#REF!</v>
      </c>
      <c r="AF74" s="157" t="s">
        <v>603</v>
      </c>
      <c r="AG74" s="7" t="s">
        <v>418</v>
      </c>
      <c r="AH74" s="220" t="s">
        <v>485</v>
      </c>
      <c r="AI74" s="220" t="s">
        <v>271</v>
      </c>
      <c r="AJ74" s="163"/>
    </row>
    <row r="75" spans="1:36" ht="30" customHeight="1">
      <c r="A75" s="266" t="s">
        <v>950</v>
      </c>
      <c r="B75" s="182"/>
      <c r="C75" s="6" t="s">
        <v>81</v>
      </c>
      <c r="D75" s="7" t="s">
        <v>739</v>
      </c>
      <c r="E75" s="7" t="s">
        <v>741</v>
      </c>
      <c r="F75" s="7" t="s">
        <v>352</v>
      </c>
      <c r="G75" s="78" t="s">
        <v>824</v>
      </c>
      <c r="H75" s="166" t="s">
        <v>753</v>
      </c>
      <c r="I75" s="38" t="s">
        <v>268</v>
      </c>
      <c r="J75" s="218">
        <v>16</v>
      </c>
      <c r="K75" s="220">
        <v>12</v>
      </c>
      <c r="L75" s="220" t="s">
        <v>822</v>
      </c>
      <c r="M75" s="38"/>
      <c r="N75" s="38" t="s">
        <v>241</v>
      </c>
      <c r="O75" s="249">
        <v>377</v>
      </c>
      <c r="P75" s="79" t="s">
        <v>599</v>
      </c>
      <c r="Q75" s="38" t="s">
        <v>361</v>
      </c>
      <c r="R75" s="220"/>
      <c r="S75" s="220"/>
      <c r="T75" s="18" t="e">
        <f>(#REF!-#REF!)/1.2</f>
        <v>#REF!</v>
      </c>
      <c r="U75" s="51" t="e">
        <f>T75*1.2/#REF!</f>
        <v>#REF!</v>
      </c>
      <c r="V75" s="52">
        <v>1569.48</v>
      </c>
      <c r="W75" s="53" t="e">
        <f>V75*#REF!</f>
        <v>#REF!</v>
      </c>
      <c r="X75" s="55" t="e">
        <f>(W75/#REF!)-1</f>
        <v>#REF!</v>
      </c>
      <c r="Y75" s="54" t="e">
        <f>W75-#REF!</f>
        <v>#REF!</v>
      </c>
      <c r="Z75" s="55" t="e">
        <f>1-(#REF!/W75)</f>
        <v>#REF!</v>
      </c>
      <c r="AA75" s="64">
        <v>1804.9</v>
      </c>
      <c r="AB75" s="63" t="e">
        <f>AA75*#REF!</f>
        <v>#REF!</v>
      </c>
      <c r="AC75" s="62" t="e">
        <f>(AB75/#REF!)-1</f>
        <v>#REF!</v>
      </c>
      <c r="AD75" s="63" t="e">
        <f>AB75-#REF!</f>
        <v>#REF!</v>
      </c>
      <c r="AE75" s="62" t="e">
        <f>1-(#REF!/AB75)</f>
        <v>#REF!</v>
      </c>
      <c r="AF75" s="157" t="s">
        <v>604</v>
      </c>
      <c r="AG75" s="7" t="s">
        <v>352</v>
      </c>
      <c r="AH75" s="220" t="s">
        <v>82</v>
      </c>
      <c r="AI75" s="220"/>
      <c r="AJ75" s="163"/>
    </row>
    <row r="76" spans="1:36" ht="30" customHeight="1">
      <c r="A76" s="266" t="s">
        <v>953</v>
      </c>
      <c r="B76" s="182"/>
      <c r="C76" s="6" t="s">
        <v>357</v>
      </c>
      <c r="D76" s="7" t="s">
        <v>739</v>
      </c>
      <c r="E76" s="7" t="s">
        <v>740</v>
      </c>
      <c r="F76" s="7" t="s">
        <v>419</v>
      </c>
      <c r="G76" s="7" t="s">
        <v>825</v>
      </c>
      <c r="H76" s="166" t="s">
        <v>753</v>
      </c>
      <c r="I76" s="41" t="s">
        <v>268</v>
      </c>
      <c r="J76" s="218">
        <v>16</v>
      </c>
      <c r="K76" s="220">
        <v>12</v>
      </c>
      <c r="L76" s="220" t="s">
        <v>822</v>
      </c>
      <c r="M76" s="41"/>
      <c r="N76" s="41" t="s">
        <v>241</v>
      </c>
      <c r="O76" s="249">
        <v>377</v>
      </c>
      <c r="P76" s="79" t="s">
        <v>599</v>
      </c>
      <c r="Q76" s="34" t="s">
        <v>523</v>
      </c>
      <c r="R76" s="255" t="s">
        <v>886</v>
      </c>
      <c r="S76" s="220"/>
      <c r="T76" s="18" t="e">
        <f>(#REF!-#REF!)/1.2</f>
        <v>#REF!</v>
      </c>
      <c r="U76" s="51" t="e">
        <f>T76*1.2/#REF!</f>
        <v>#REF!</v>
      </c>
      <c r="V76" s="52">
        <v>1569.48</v>
      </c>
      <c r="W76" s="53" t="e">
        <f>V76*#REF!</f>
        <v>#REF!</v>
      </c>
      <c r="X76" s="55" t="e">
        <f>(W76/#REF!)-1</f>
        <v>#REF!</v>
      </c>
      <c r="Y76" s="54" t="e">
        <f>W76-#REF!</f>
        <v>#REF!</v>
      </c>
      <c r="Z76" s="55" t="e">
        <f>1-(#REF!/W76)</f>
        <v>#REF!</v>
      </c>
      <c r="AA76" s="64">
        <v>1804.9</v>
      </c>
      <c r="AB76" s="63" t="e">
        <f>AA76*#REF!</f>
        <v>#REF!</v>
      </c>
      <c r="AC76" s="62" t="e">
        <f>(AB76/#REF!)-1</f>
        <v>#REF!</v>
      </c>
      <c r="AD76" s="63" t="e">
        <f>AB76-#REF!</f>
        <v>#REF!</v>
      </c>
      <c r="AE76" s="62" t="e">
        <f>1-(#REF!/AB76)</f>
        <v>#REF!</v>
      </c>
      <c r="AF76" s="157" t="s">
        <v>605</v>
      </c>
      <c r="AG76" s="7" t="s">
        <v>419</v>
      </c>
      <c r="AH76" s="220" t="s">
        <v>486</v>
      </c>
      <c r="AI76" s="220" t="s">
        <v>273</v>
      </c>
      <c r="AJ76" s="163"/>
    </row>
    <row r="77" spans="1:36" ht="30" customHeight="1">
      <c r="A77" s="266" t="s">
        <v>950</v>
      </c>
      <c r="B77" s="182"/>
      <c r="C77" s="6" t="s">
        <v>83</v>
      </c>
      <c r="D77" s="7" t="s">
        <v>739</v>
      </c>
      <c r="E77" s="7" t="s">
        <v>741</v>
      </c>
      <c r="F77" s="7" t="s">
        <v>353</v>
      </c>
      <c r="G77" s="78" t="s">
        <v>824</v>
      </c>
      <c r="H77" s="166" t="s">
        <v>753</v>
      </c>
      <c r="I77" s="38" t="s">
        <v>269</v>
      </c>
      <c r="J77" s="218">
        <v>16</v>
      </c>
      <c r="K77" s="220">
        <v>12</v>
      </c>
      <c r="L77" s="220" t="s">
        <v>822</v>
      </c>
      <c r="M77" s="38"/>
      <c r="N77" s="38" t="s">
        <v>241</v>
      </c>
      <c r="O77" s="249">
        <v>50</v>
      </c>
      <c r="P77" s="79" t="s">
        <v>599</v>
      </c>
      <c r="Q77" s="38" t="s">
        <v>361</v>
      </c>
      <c r="R77" s="220"/>
      <c r="S77" s="220"/>
      <c r="T77" s="18" t="e">
        <f>(#REF!-#REF!)/1.2</f>
        <v>#REF!</v>
      </c>
      <c r="U77" s="51" t="e">
        <f>T77*1.2/#REF!</f>
        <v>#REF!</v>
      </c>
      <c r="V77" s="52">
        <v>2316.6</v>
      </c>
      <c r="W77" s="53" t="e">
        <f>V77*#REF!</f>
        <v>#REF!</v>
      </c>
      <c r="X77" s="55" t="e">
        <f>(W77/#REF!)-1</f>
        <v>#REF!</v>
      </c>
      <c r="Y77" s="54" t="e">
        <f>W77-#REF!</f>
        <v>#REF!</v>
      </c>
      <c r="Z77" s="55" t="e">
        <f>1-(#REF!/W77)</f>
        <v>#REF!</v>
      </c>
      <c r="AA77" s="64">
        <v>2664.09</v>
      </c>
      <c r="AB77" s="63" t="e">
        <f>AA77*#REF!</f>
        <v>#REF!</v>
      </c>
      <c r="AC77" s="62" t="e">
        <f>(AB77/#REF!)-1</f>
        <v>#REF!</v>
      </c>
      <c r="AD77" s="63" t="e">
        <f>AB77-#REF!</f>
        <v>#REF!</v>
      </c>
      <c r="AE77" s="62" t="e">
        <f>1-(#REF!/AB77)</f>
        <v>#REF!</v>
      </c>
      <c r="AF77" s="157" t="s">
        <v>606</v>
      </c>
      <c r="AG77" s="7" t="s">
        <v>353</v>
      </c>
      <c r="AH77" s="220" t="s">
        <v>84</v>
      </c>
      <c r="AI77" s="220"/>
      <c r="AJ77" s="163"/>
    </row>
    <row r="78" spans="1:36" ht="30" customHeight="1" thickBot="1">
      <c r="A78" s="266" t="s">
        <v>954</v>
      </c>
      <c r="B78" s="179"/>
      <c r="C78" s="65" t="s">
        <v>358</v>
      </c>
      <c r="D78" s="66" t="s">
        <v>739</v>
      </c>
      <c r="E78" s="66" t="s">
        <v>740</v>
      </c>
      <c r="F78" s="66" t="s">
        <v>420</v>
      </c>
      <c r="G78" s="7" t="s">
        <v>825</v>
      </c>
      <c r="H78" s="164" t="s">
        <v>753</v>
      </c>
      <c r="I78" s="45" t="s">
        <v>269</v>
      </c>
      <c r="J78" s="216">
        <v>16</v>
      </c>
      <c r="K78" s="222">
        <v>12</v>
      </c>
      <c r="L78" s="222" t="s">
        <v>822</v>
      </c>
      <c r="M78" s="45"/>
      <c r="N78" s="45" t="s">
        <v>241</v>
      </c>
      <c r="O78" s="258">
        <v>50</v>
      </c>
      <c r="P78" s="79" t="s">
        <v>599</v>
      </c>
      <c r="Q78" s="67" t="s">
        <v>523</v>
      </c>
      <c r="R78" s="256" t="s">
        <v>886</v>
      </c>
      <c r="S78" s="222"/>
      <c r="T78" s="68" t="e">
        <f>(#REF!-#REF!)/1.2</f>
        <v>#REF!</v>
      </c>
      <c r="U78" s="69" t="e">
        <f>T78*1.2/#REF!</f>
        <v>#REF!</v>
      </c>
      <c r="V78" s="70">
        <v>2316.6</v>
      </c>
      <c r="W78" s="71" t="e">
        <f>V78*#REF!</f>
        <v>#REF!</v>
      </c>
      <c r="X78" s="126" t="e">
        <f>(W78/#REF!)-1</f>
        <v>#REF!</v>
      </c>
      <c r="Y78" s="72" t="e">
        <f>W78-#REF!</f>
        <v>#REF!</v>
      </c>
      <c r="Z78" s="126" t="e">
        <f>1-(#REF!/W78)</f>
        <v>#REF!</v>
      </c>
      <c r="AA78" s="127">
        <v>2664.09</v>
      </c>
      <c r="AB78" s="76" t="e">
        <f>AA78*#REF!</f>
        <v>#REF!</v>
      </c>
      <c r="AC78" s="75" t="e">
        <f>(AB78/#REF!)-1</f>
        <v>#REF!</v>
      </c>
      <c r="AD78" s="76" t="e">
        <f>AB78-#REF!</f>
        <v>#REF!</v>
      </c>
      <c r="AE78" s="75" t="e">
        <f>1-(#REF!/AB78)</f>
        <v>#REF!</v>
      </c>
      <c r="AF78" s="157" t="s">
        <v>607</v>
      </c>
      <c r="AG78" s="66" t="s">
        <v>420</v>
      </c>
      <c r="AH78" s="222" t="s">
        <v>487</v>
      </c>
      <c r="AI78" s="222" t="s">
        <v>274</v>
      </c>
      <c r="AJ78" s="163"/>
    </row>
    <row r="79" spans="1:36" s="3" customFormat="1" ht="75" customHeight="1">
      <c r="A79" s="266" t="s">
        <v>950</v>
      </c>
      <c r="B79" s="191"/>
      <c r="C79" s="89" t="s">
        <v>85</v>
      </c>
      <c r="D79" s="90" t="s">
        <v>739</v>
      </c>
      <c r="E79" s="90" t="s">
        <v>741</v>
      </c>
      <c r="F79" s="90" t="s">
        <v>354</v>
      </c>
      <c r="G79" s="90" t="s">
        <v>827</v>
      </c>
      <c r="H79" s="91" t="s">
        <v>753</v>
      </c>
      <c r="I79" s="91" t="s">
        <v>270</v>
      </c>
      <c r="J79" s="91">
        <v>16</v>
      </c>
      <c r="K79" s="224">
        <v>12</v>
      </c>
      <c r="L79" s="224" t="s">
        <v>757</v>
      </c>
      <c r="M79" s="91"/>
      <c r="N79" s="91" t="s">
        <v>241</v>
      </c>
      <c r="O79" s="261">
        <v>20</v>
      </c>
      <c r="P79" s="94" t="s">
        <v>483</v>
      </c>
      <c r="Q79" s="91" t="s">
        <v>361</v>
      </c>
      <c r="R79" s="224"/>
      <c r="S79" s="224"/>
      <c r="T79" s="138" t="e">
        <f>(#REF!-#REF!)/1.2</f>
        <v>#REF!</v>
      </c>
      <c r="U79" s="139" t="e">
        <f>T79*1.2/#REF!</f>
        <v>#REF!</v>
      </c>
      <c r="V79" s="140"/>
      <c r="W79" s="138" t="e">
        <f>V79*#REF!</f>
        <v>#REF!</v>
      </c>
      <c r="X79" s="141" t="e">
        <f>(W79/#REF!)-1</f>
        <v>#REF!</v>
      </c>
      <c r="Y79" s="142" t="e">
        <f>W79-#REF!</f>
        <v>#REF!</v>
      </c>
      <c r="Z79" s="141" t="e">
        <f>1-(#REF!/W79)</f>
        <v>#REF!</v>
      </c>
      <c r="AA79" s="143"/>
      <c r="AB79" s="142" t="e">
        <f>AA79*#REF!</f>
        <v>#REF!</v>
      </c>
      <c r="AC79" s="141" t="e">
        <f>(AB79/#REF!)-1</f>
        <v>#REF!</v>
      </c>
      <c r="AD79" s="142" t="e">
        <f>AB79-#REF!</f>
        <v>#REF!</v>
      </c>
      <c r="AE79" s="158" t="e">
        <f>1-(#REF!/AB79)</f>
        <v>#REF!</v>
      </c>
      <c r="AF79" s="160" t="s">
        <v>608</v>
      </c>
      <c r="AG79" s="90" t="s">
        <v>354</v>
      </c>
      <c r="AH79" s="224" t="s">
        <v>86</v>
      </c>
      <c r="AI79" s="224"/>
      <c r="AJ79" s="163"/>
    </row>
    <row r="80" spans="1:36" s="3" customFormat="1" ht="75" customHeight="1" thickBot="1">
      <c r="A80" s="266" t="s">
        <v>955</v>
      </c>
      <c r="B80" s="193"/>
      <c r="C80" s="104" t="s">
        <v>359</v>
      </c>
      <c r="D80" s="105" t="s">
        <v>739</v>
      </c>
      <c r="E80" s="105" t="s">
        <v>740</v>
      </c>
      <c r="F80" s="105" t="s">
        <v>421</v>
      </c>
      <c r="G80" s="105" t="s">
        <v>826</v>
      </c>
      <c r="H80" s="106" t="s">
        <v>753</v>
      </c>
      <c r="I80" s="106" t="s">
        <v>270</v>
      </c>
      <c r="J80" s="106">
        <v>16</v>
      </c>
      <c r="K80" s="226">
        <v>12</v>
      </c>
      <c r="L80" s="226" t="s">
        <v>757</v>
      </c>
      <c r="M80" s="106"/>
      <c r="N80" s="106" t="s">
        <v>241</v>
      </c>
      <c r="O80" s="250">
        <v>20</v>
      </c>
      <c r="P80" s="109" t="s">
        <v>483</v>
      </c>
      <c r="Q80" s="109" t="s">
        <v>523</v>
      </c>
      <c r="R80" s="257" t="s">
        <v>886</v>
      </c>
      <c r="S80" s="226"/>
      <c r="T80" s="144" t="e">
        <f>(#REF!-#REF!)/1.2</f>
        <v>#REF!</v>
      </c>
      <c r="U80" s="145" t="e">
        <f>T80*1.2/#REF!</f>
        <v>#REF!</v>
      </c>
      <c r="V80" s="146"/>
      <c r="W80" s="144" t="e">
        <f>V80*#REF!</f>
        <v>#REF!</v>
      </c>
      <c r="X80" s="147" t="e">
        <f>(W80/#REF!)-1</f>
        <v>#REF!</v>
      </c>
      <c r="Y80" s="148" t="e">
        <f>W80-#REF!</f>
        <v>#REF!</v>
      </c>
      <c r="Z80" s="147" t="e">
        <f>1-(#REF!/W80)</f>
        <v>#REF!</v>
      </c>
      <c r="AA80" s="149"/>
      <c r="AB80" s="148" t="e">
        <f>AA80*#REF!</f>
        <v>#REF!</v>
      </c>
      <c r="AC80" s="147" t="e">
        <f>(AB80/#REF!)-1</f>
        <v>#REF!</v>
      </c>
      <c r="AD80" s="148" t="e">
        <f>AB80-#REF!</f>
        <v>#REF!</v>
      </c>
      <c r="AE80" s="159" t="e">
        <f>1-(#REF!/AB80)</f>
        <v>#REF!</v>
      </c>
      <c r="AF80" s="160" t="s">
        <v>609</v>
      </c>
      <c r="AG80" s="105" t="s">
        <v>421</v>
      </c>
      <c r="AH80" s="226" t="s">
        <v>488</v>
      </c>
      <c r="AI80" s="226"/>
      <c r="AJ80" s="163"/>
    </row>
    <row r="81" spans="1:36" ht="80.099999999999994" customHeight="1">
      <c r="A81" s="266" t="s">
        <v>956</v>
      </c>
      <c r="B81" s="191"/>
      <c r="C81" s="89" t="s">
        <v>87</v>
      </c>
      <c r="D81" s="90" t="s">
        <v>743</v>
      </c>
      <c r="E81" s="91" t="s">
        <v>361</v>
      </c>
      <c r="F81" s="90" t="s">
        <v>436</v>
      </c>
      <c r="G81" s="90" t="s">
        <v>831</v>
      </c>
      <c r="H81" s="91" t="s">
        <v>753</v>
      </c>
      <c r="I81" s="91" t="s">
        <v>276</v>
      </c>
      <c r="J81" s="218">
        <v>16</v>
      </c>
      <c r="K81" s="220"/>
      <c r="L81" s="220"/>
      <c r="M81" s="167"/>
      <c r="N81" s="91" t="s">
        <v>241</v>
      </c>
      <c r="O81" s="261">
        <v>0.16</v>
      </c>
      <c r="P81" s="93" t="s">
        <v>361</v>
      </c>
      <c r="Q81" s="91" t="s">
        <v>361</v>
      </c>
      <c r="R81" s="224" t="s">
        <v>886</v>
      </c>
      <c r="S81" s="224" t="s">
        <v>275</v>
      </c>
      <c r="T81" s="95" t="e">
        <f>(#REF!-#REF!)/1.2</f>
        <v>#REF!</v>
      </c>
      <c r="U81" s="96" t="e">
        <f>T81*1.2/#REF!</f>
        <v>#REF!</v>
      </c>
      <c r="V81" s="97">
        <v>72.599999999999994</v>
      </c>
      <c r="W81" s="98" t="e">
        <f>V81*#REF!</f>
        <v>#REF!</v>
      </c>
      <c r="X81" s="99" t="e">
        <f>(W81/#REF!)-1</f>
        <v>#REF!</v>
      </c>
      <c r="Y81" s="100" t="e">
        <f>W81-#REF!</f>
        <v>#REF!</v>
      </c>
      <c r="Z81" s="99" t="e">
        <f>1-(#REF!/W81)</f>
        <v>#REF!</v>
      </c>
      <c r="AA81" s="101">
        <v>83.49</v>
      </c>
      <c r="AB81" s="102" t="e">
        <f>AA81*#REF!</f>
        <v>#REF!</v>
      </c>
      <c r="AC81" s="103" t="e">
        <f>(AB81/#REF!)-1</f>
        <v>#REF!</v>
      </c>
      <c r="AD81" s="102" t="e">
        <f>AB81-#REF!</f>
        <v>#REF!</v>
      </c>
      <c r="AE81" s="153" t="e">
        <f>1-(#REF!/AB81)</f>
        <v>#REF!</v>
      </c>
      <c r="AF81" s="157" t="s">
        <v>610</v>
      </c>
      <c r="AG81" s="90" t="s">
        <v>436</v>
      </c>
      <c r="AH81" s="224" t="s">
        <v>309</v>
      </c>
      <c r="AI81" s="224" t="s">
        <v>311</v>
      </c>
      <c r="AJ81" s="163"/>
    </row>
    <row r="82" spans="1:36" ht="80.099999999999994" customHeight="1">
      <c r="A82" s="266" t="s">
        <v>957</v>
      </c>
      <c r="B82" s="192"/>
      <c r="C82" s="6" t="s">
        <v>88</v>
      </c>
      <c r="D82" s="7" t="s">
        <v>743</v>
      </c>
      <c r="E82" s="166" t="s">
        <v>361</v>
      </c>
      <c r="F82" s="7" t="s">
        <v>437</v>
      </c>
      <c r="G82" s="7" t="s">
        <v>829</v>
      </c>
      <c r="H82" s="166" t="s">
        <v>753</v>
      </c>
      <c r="I82" s="47" t="s">
        <v>276</v>
      </c>
      <c r="J82" s="218">
        <v>16</v>
      </c>
      <c r="K82" s="220"/>
      <c r="L82" s="220"/>
      <c r="M82" s="167"/>
      <c r="N82" s="47" t="s">
        <v>241</v>
      </c>
      <c r="O82" s="249">
        <v>0.14000000000000001</v>
      </c>
      <c r="P82" s="29" t="s">
        <v>361</v>
      </c>
      <c r="Q82" s="47" t="s">
        <v>361</v>
      </c>
      <c r="R82" s="220" t="s">
        <v>886</v>
      </c>
      <c r="S82" s="220" t="s">
        <v>751</v>
      </c>
      <c r="T82" s="18" t="e">
        <f>(#REF!-#REF!)/1.2</f>
        <v>#REF!</v>
      </c>
      <c r="U82" s="51" t="e">
        <f>T82*1.2/#REF!</f>
        <v>#REF!</v>
      </c>
      <c r="V82" s="52">
        <v>72.599999999999994</v>
      </c>
      <c r="W82" s="53" t="e">
        <f>V82*#REF!</f>
        <v>#REF!</v>
      </c>
      <c r="X82" s="55" t="e">
        <f>(W82/#REF!)-1</f>
        <v>#REF!</v>
      </c>
      <c r="Y82" s="54" t="e">
        <f>W82-#REF!</f>
        <v>#REF!</v>
      </c>
      <c r="Z82" s="55" t="e">
        <f>1-(#REF!/W82)</f>
        <v>#REF!</v>
      </c>
      <c r="AA82" s="64">
        <v>83.49</v>
      </c>
      <c r="AB82" s="63" t="e">
        <f>AA82*#REF!</f>
        <v>#REF!</v>
      </c>
      <c r="AC82" s="62" t="e">
        <f>(AB82/#REF!)-1</f>
        <v>#REF!</v>
      </c>
      <c r="AD82" s="63" t="e">
        <f>AB82-#REF!</f>
        <v>#REF!</v>
      </c>
      <c r="AE82" s="154" t="e">
        <f>1-(#REF!/AB82)</f>
        <v>#REF!</v>
      </c>
      <c r="AF82" s="157" t="s">
        <v>611</v>
      </c>
      <c r="AG82" s="7" t="s">
        <v>437</v>
      </c>
      <c r="AH82" s="220" t="s">
        <v>89</v>
      </c>
      <c r="AI82" s="220" t="s">
        <v>311</v>
      </c>
      <c r="AJ82" s="163"/>
    </row>
    <row r="83" spans="1:36" ht="80.099999999999994" customHeight="1">
      <c r="A83" s="266" t="s">
        <v>958</v>
      </c>
      <c r="B83" s="192"/>
      <c r="C83" s="6" t="s">
        <v>90</v>
      </c>
      <c r="D83" s="7" t="s">
        <v>743</v>
      </c>
      <c r="E83" s="166" t="s">
        <v>361</v>
      </c>
      <c r="F83" s="7" t="s">
        <v>438</v>
      </c>
      <c r="G83" s="7" t="s">
        <v>828</v>
      </c>
      <c r="H83" s="166" t="s">
        <v>753</v>
      </c>
      <c r="I83" s="47" t="s">
        <v>279</v>
      </c>
      <c r="J83" s="218">
        <v>16</v>
      </c>
      <c r="K83" s="220"/>
      <c r="L83" s="220"/>
      <c r="M83" s="167"/>
      <c r="N83" s="47" t="s">
        <v>241</v>
      </c>
      <c r="O83" s="249">
        <v>0.1</v>
      </c>
      <c r="P83" s="29" t="s">
        <v>361</v>
      </c>
      <c r="Q83" s="47" t="s">
        <v>361</v>
      </c>
      <c r="R83" s="220" t="s">
        <v>886</v>
      </c>
      <c r="S83" s="220" t="s">
        <v>275</v>
      </c>
      <c r="T83" s="18" t="e">
        <f>(#REF!-#REF!)/1.2</f>
        <v>#REF!</v>
      </c>
      <c r="U83" s="51" t="e">
        <f>T83*1.2/#REF!</f>
        <v>#REF!</v>
      </c>
      <c r="V83" s="52">
        <v>39.6</v>
      </c>
      <c r="W83" s="53" t="e">
        <f>V83*#REF!</f>
        <v>#REF!</v>
      </c>
      <c r="X83" s="55" t="e">
        <f>(W83/#REF!)-1</f>
        <v>#REF!</v>
      </c>
      <c r="Y83" s="54" t="e">
        <f>W83-#REF!</f>
        <v>#REF!</v>
      </c>
      <c r="Z83" s="55" t="e">
        <f>1-(#REF!/W83)</f>
        <v>#REF!</v>
      </c>
      <c r="AA83" s="64">
        <v>45.54</v>
      </c>
      <c r="AB83" s="63" t="e">
        <f>AA83*#REF!</f>
        <v>#REF!</v>
      </c>
      <c r="AC83" s="62" t="e">
        <f>(AB83/#REF!)-1</f>
        <v>#REF!</v>
      </c>
      <c r="AD83" s="63" t="e">
        <f>AB83-#REF!</f>
        <v>#REF!</v>
      </c>
      <c r="AE83" s="154" t="e">
        <f>1-(#REF!/AB83)</f>
        <v>#REF!</v>
      </c>
      <c r="AF83" s="157" t="s">
        <v>612</v>
      </c>
      <c r="AG83" s="7" t="s">
        <v>438</v>
      </c>
      <c r="AH83" s="220" t="s">
        <v>445</v>
      </c>
      <c r="AI83" s="220" t="s">
        <v>310</v>
      </c>
      <c r="AJ83" s="163"/>
    </row>
    <row r="84" spans="1:36" s="3" customFormat="1" ht="80.099999999999994" customHeight="1">
      <c r="A84" s="266" t="s">
        <v>959</v>
      </c>
      <c r="B84" s="192"/>
      <c r="C84" s="6" t="s">
        <v>520</v>
      </c>
      <c r="D84" s="7" t="s">
        <v>743</v>
      </c>
      <c r="E84" s="166" t="s">
        <v>361</v>
      </c>
      <c r="F84" s="7" t="s">
        <v>521</v>
      </c>
      <c r="G84" s="7" t="s">
        <v>830</v>
      </c>
      <c r="H84" s="166" t="s">
        <v>753</v>
      </c>
      <c r="I84" s="47" t="s">
        <v>280</v>
      </c>
      <c r="J84" s="218">
        <v>16</v>
      </c>
      <c r="K84" s="220"/>
      <c r="L84" s="220"/>
      <c r="M84" s="167"/>
      <c r="N84" s="47" t="s">
        <v>241</v>
      </c>
      <c r="O84" s="249">
        <v>0.18</v>
      </c>
      <c r="P84" s="29" t="s">
        <v>361</v>
      </c>
      <c r="Q84" s="47" t="s">
        <v>361</v>
      </c>
      <c r="R84" s="220" t="s">
        <v>886</v>
      </c>
      <c r="S84" s="220" t="s">
        <v>751</v>
      </c>
      <c r="T84" s="40" t="e">
        <f>(#REF!-#REF!)/1.2</f>
        <v>#REF!</v>
      </c>
      <c r="U84" s="51" t="e">
        <f>T84*1.2/#REF!</f>
        <v>#REF!</v>
      </c>
      <c r="V84" s="52"/>
      <c r="W84" s="53" t="e">
        <f>V84*#REF!</f>
        <v>#REF!</v>
      </c>
      <c r="X84" s="55" t="e">
        <f>(W84/#REF!)-1</f>
        <v>#REF!</v>
      </c>
      <c r="Y84" s="54" t="e">
        <f>W84-#REF!</f>
        <v>#REF!</v>
      </c>
      <c r="Z84" s="55" t="e">
        <f>1-(#REF!/W84)</f>
        <v>#REF!</v>
      </c>
      <c r="AA84" s="64"/>
      <c r="AB84" s="63" t="e">
        <f>AA84*#REF!</f>
        <v>#REF!</v>
      </c>
      <c r="AC84" s="62" t="e">
        <f>(AB84/#REF!)-1</f>
        <v>#REF!</v>
      </c>
      <c r="AD84" s="63" t="e">
        <f>AB84-#REF!</f>
        <v>#REF!</v>
      </c>
      <c r="AE84" s="154" t="e">
        <f>1-(#REF!/AB84)</f>
        <v>#REF!</v>
      </c>
      <c r="AF84" s="160" t="s">
        <v>613</v>
      </c>
      <c r="AG84" s="7" t="s">
        <v>521</v>
      </c>
      <c r="AH84" s="220" t="s">
        <v>91</v>
      </c>
      <c r="AI84" s="220"/>
      <c r="AJ84" s="163"/>
    </row>
    <row r="85" spans="1:36" ht="90" customHeight="1">
      <c r="A85" s="266" t="s">
        <v>960</v>
      </c>
      <c r="B85" s="196"/>
      <c r="C85" s="6" t="s">
        <v>92</v>
      </c>
      <c r="D85" s="7" t="s">
        <v>743</v>
      </c>
      <c r="E85" s="166" t="s">
        <v>361</v>
      </c>
      <c r="F85" s="7" t="s">
        <v>423</v>
      </c>
      <c r="G85" s="7" t="s">
        <v>832</v>
      </c>
      <c r="H85" s="166" t="s">
        <v>753</v>
      </c>
      <c r="I85" s="47" t="s">
        <v>277</v>
      </c>
      <c r="J85" s="218">
        <v>16</v>
      </c>
      <c r="K85" s="220"/>
      <c r="L85" s="220"/>
      <c r="M85" s="167"/>
      <c r="N85" s="47" t="s">
        <v>241</v>
      </c>
      <c r="O85" s="249">
        <v>0.9</v>
      </c>
      <c r="P85" s="29" t="s">
        <v>361</v>
      </c>
      <c r="Q85" s="29" t="s">
        <v>361</v>
      </c>
      <c r="R85" s="249" t="s">
        <v>886</v>
      </c>
      <c r="S85" s="220" t="s">
        <v>275</v>
      </c>
      <c r="T85" s="18" t="e">
        <f>(#REF!-#REF!)/1.2</f>
        <v>#REF!</v>
      </c>
      <c r="U85" s="51" t="e">
        <f>T85*1.2/#REF!</f>
        <v>#REF!</v>
      </c>
      <c r="V85" s="52">
        <v>92.4</v>
      </c>
      <c r="W85" s="53" t="e">
        <f>V85*#REF!</f>
        <v>#REF!</v>
      </c>
      <c r="X85" s="55" t="e">
        <f>(W85/#REF!)-1</f>
        <v>#REF!</v>
      </c>
      <c r="Y85" s="54" t="e">
        <f>W85-#REF!</f>
        <v>#REF!</v>
      </c>
      <c r="Z85" s="55" t="e">
        <f>1-(#REF!/W85)</f>
        <v>#REF!</v>
      </c>
      <c r="AA85" s="64">
        <v>106.26</v>
      </c>
      <c r="AB85" s="63" t="e">
        <f>AA85*#REF!</f>
        <v>#REF!</v>
      </c>
      <c r="AC85" s="62" t="e">
        <f>(AB85/#REF!)-1</f>
        <v>#REF!</v>
      </c>
      <c r="AD85" s="63" t="e">
        <f>AB85-#REF!</f>
        <v>#REF!</v>
      </c>
      <c r="AE85" s="154" t="e">
        <f>1-(#REF!/AB85)</f>
        <v>#REF!</v>
      </c>
      <c r="AF85" s="157" t="s">
        <v>614</v>
      </c>
      <c r="AG85" s="7" t="s">
        <v>423</v>
      </c>
      <c r="AH85" s="220" t="s">
        <v>93</v>
      </c>
      <c r="AI85" s="220" t="s">
        <v>313</v>
      </c>
      <c r="AJ85" s="163"/>
    </row>
    <row r="86" spans="1:36" ht="90" customHeight="1">
      <c r="A86" s="266" t="s">
        <v>961</v>
      </c>
      <c r="B86" s="196"/>
      <c r="C86" s="6" t="s">
        <v>94</v>
      </c>
      <c r="D86" s="7" t="s">
        <v>743</v>
      </c>
      <c r="E86" s="166" t="s">
        <v>361</v>
      </c>
      <c r="F86" s="7" t="s">
        <v>424</v>
      </c>
      <c r="G86" s="7" t="s">
        <v>832</v>
      </c>
      <c r="H86" s="166" t="s">
        <v>753</v>
      </c>
      <c r="I86" s="47" t="s">
        <v>278</v>
      </c>
      <c r="J86" s="218">
        <v>16</v>
      </c>
      <c r="K86" s="220"/>
      <c r="L86" s="220"/>
      <c r="M86" s="167"/>
      <c r="N86" s="47" t="s">
        <v>241</v>
      </c>
      <c r="O86" s="249">
        <v>1.5</v>
      </c>
      <c r="P86" s="29" t="s">
        <v>361</v>
      </c>
      <c r="Q86" s="29" t="s">
        <v>361</v>
      </c>
      <c r="R86" s="249" t="s">
        <v>886</v>
      </c>
      <c r="S86" s="220" t="s">
        <v>275</v>
      </c>
      <c r="T86" s="18" t="e">
        <f>(#REF!-#REF!)/1.2</f>
        <v>#REF!</v>
      </c>
      <c r="U86" s="51" t="e">
        <f>T86*1.2/#REF!</f>
        <v>#REF!</v>
      </c>
      <c r="V86" s="52">
        <v>141.24</v>
      </c>
      <c r="W86" s="53" t="e">
        <f>V86*#REF!</f>
        <v>#REF!</v>
      </c>
      <c r="X86" s="55" t="e">
        <f>(W86/#REF!)-1</f>
        <v>#REF!</v>
      </c>
      <c r="Y86" s="54" t="e">
        <f>W86-#REF!</f>
        <v>#REF!</v>
      </c>
      <c r="Z86" s="55" t="e">
        <f>1-(#REF!/W86)</f>
        <v>#REF!</v>
      </c>
      <c r="AA86" s="64">
        <v>162.43</v>
      </c>
      <c r="AB86" s="63" t="e">
        <f>AA86*#REF!</f>
        <v>#REF!</v>
      </c>
      <c r="AC86" s="62" t="e">
        <f>(AB86/#REF!)-1</f>
        <v>#REF!</v>
      </c>
      <c r="AD86" s="63" t="e">
        <f>AB86-#REF!</f>
        <v>#REF!</v>
      </c>
      <c r="AE86" s="154" t="e">
        <f>1-(#REF!/AB86)</f>
        <v>#REF!</v>
      </c>
      <c r="AF86" s="157" t="s">
        <v>615</v>
      </c>
      <c r="AG86" s="7" t="s">
        <v>424</v>
      </c>
      <c r="AH86" s="220" t="s">
        <v>95</v>
      </c>
      <c r="AI86" s="220" t="s">
        <v>314</v>
      </c>
      <c r="AJ86" s="163"/>
    </row>
    <row r="87" spans="1:36" s="1" customFormat="1" ht="163.5" customHeight="1">
      <c r="A87" s="266" t="s">
        <v>962</v>
      </c>
      <c r="B87" s="192"/>
      <c r="C87" s="6" t="s">
        <v>96</v>
      </c>
      <c r="D87" s="7" t="s">
        <v>743</v>
      </c>
      <c r="E87" s="166" t="s">
        <v>361</v>
      </c>
      <c r="F87" s="7" t="s">
        <v>439</v>
      </c>
      <c r="G87" s="7" t="s">
        <v>833</v>
      </c>
      <c r="H87" s="166" t="s">
        <v>753</v>
      </c>
      <c r="I87" s="47" t="s">
        <v>281</v>
      </c>
      <c r="J87" s="218">
        <v>16</v>
      </c>
      <c r="K87" s="220"/>
      <c r="L87" s="220"/>
      <c r="M87" s="167"/>
      <c r="N87" s="47" t="s">
        <v>241</v>
      </c>
      <c r="O87" s="249">
        <v>0.23</v>
      </c>
      <c r="P87" s="29" t="s">
        <v>361</v>
      </c>
      <c r="Q87" s="29" t="s">
        <v>361</v>
      </c>
      <c r="R87" s="249" t="s">
        <v>886</v>
      </c>
      <c r="S87" s="220" t="s">
        <v>275</v>
      </c>
      <c r="T87" s="18" t="e">
        <f>(#REF!-#REF!)/1.2</f>
        <v>#REF!</v>
      </c>
      <c r="U87" s="51" t="e">
        <f>T87*1.2/#REF!</f>
        <v>#REF!</v>
      </c>
      <c r="V87" s="52">
        <v>81.84</v>
      </c>
      <c r="W87" s="53" t="e">
        <f>V87*#REF!</f>
        <v>#REF!</v>
      </c>
      <c r="X87" s="55" t="e">
        <f>(W87/#REF!)-1</f>
        <v>#REF!</v>
      </c>
      <c r="Y87" s="54" t="e">
        <f>W87-#REF!</f>
        <v>#REF!</v>
      </c>
      <c r="Z87" s="55" t="e">
        <f>1-(#REF!/W87)</f>
        <v>#REF!</v>
      </c>
      <c r="AA87" s="64">
        <v>94.12</v>
      </c>
      <c r="AB87" s="63" t="e">
        <f>AA87*#REF!</f>
        <v>#REF!</v>
      </c>
      <c r="AC87" s="62" t="e">
        <f>(AB87/#REF!)-1</f>
        <v>#REF!</v>
      </c>
      <c r="AD87" s="63" t="e">
        <f>AB87-#REF!</f>
        <v>#REF!</v>
      </c>
      <c r="AE87" s="154" t="e">
        <f>1-(#REF!/AB87)</f>
        <v>#REF!</v>
      </c>
      <c r="AF87" s="157" t="s">
        <v>616</v>
      </c>
      <c r="AG87" s="7" t="s">
        <v>439</v>
      </c>
      <c r="AH87" s="220" t="s">
        <v>97</v>
      </c>
      <c r="AI87" s="220" t="s">
        <v>312</v>
      </c>
      <c r="AJ87" s="163"/>
    </row>
    <row r="88" spans="1:36" ht="80.099999999999994" customHeight="1">
      <c r="A88" s="266" t="s">
        <v>963</v>
      </c>
      <c r="B88" s="197"/>
      <c r="C88" s="6" t="s">
        <v>98</v>
      </c>
      <c r="D88" s="7" t="s">
        <v>743</v>
      </c>
      <c r="E88" s="166" t="s">
        <v>361</v>
      </c>
      <c r="F88" s="7" t="s">
        <v>440</v>
      </c>
      <c r="G88" s="7" t="s">
        <v>834</v>
      </c>
      <c r="H88" s="166" t="s">
        <v>753</v>
      </c>
      <c r="I88" s="47" t="s">
        <v>772</v>
      </c>
      <c r="J88" s="218">
        <v>16</v>
      </c>
      <c r="K88" s="220"/>
      <c r="L88" s="220"/>
      <c r="M88" s="47"/>
      <c r="N88" s="47" t="s">
        <v>241</v>
      </c>
      <c r="O88" s="249">
        <v>0.13</v>
      </c>
      <c r="P88" s="29" t="s">
        <v>361</v>
      </c>
      <c r="Q88" s="29" t="s">
        <v>361</v>
      </c>
      <c r="R88" s="249" t="s">
        <v>886</v>
      </c>
      <c r="S88" s="220" t="s">
        <v>275</v>
      </c>
      <c r="T88" s="18" t="e">
        <f>(#REF!-#REF!)/1.2</f>
        <v>#REF!</v>
      </c>
      <c r="U88" s="51" t="e">
        <f>T88*1.2/#REF!</f>
        <v>#REF!</v>
      </c>
      <c r="V88" s="52">
        <v>30.36</v>
      </c>
      <c r="W88" s="53" t="e">
        <f>V88*#REF!</f>
        <v>#REF!</v>
      </c>
      <c r="X88" s="55" t="e">
        <f>(W88/#REF!)-1</f>
        <v>#REF!</v>
      </c>
      <c r="Y88" s="54" t="e">
        <f>W88-#REF!</f>
        <v>#REF!</v>
      </c>
      <c r="Z88" s="55" t="e">
        <f>1-(#REF!/W88)</f>
        <v>#REF!</v>
      </c>
      <c r="AA88" s="64">
        <v>34.909999999999997</v>
      </c>
      <c r="AB88" s="63" t="e">
        <f>AA88*#REF!</f>
        <v>#REF!</v>
      </c>
      <c r="AC88" s="62" t="e">
        <f>(AB88/#REF!)-1</f>
        <v>#REF!</v>
      </c>
      <c r="AD88" s="63" t="e">
        <f>AB88-#REF!</f>
        <v>#REF!</v>
      </c>
      <c r="AE88" s="154" t="e">
        <f>1-(#REF!/AB88)</f>
        <v>#REF!</v>
      </c>
      <c r="AF88" s="157" t="s">
        <v>617</v>
      </c>
      <c r="AG88" s="7" t="s">
        <v>440</v>
      </c>
      <c r="AH88" s="220"/>
      <c r="AI88" s="220" t="s">
        <v>307</v>
      </c>
      <c r="AJ88" s="163"/>
    </row>
    <row r="89" spans="1:36" ht="99.95" customHeight="1">
      <c r="A89" s="266" t="s">
        <v>964</v>
      </c>
      <c r="B89" s="197"/>
      <c r="C89" s="6" t="s">
        <v>99</v>
      </c>
      <c r="D89" s="7" t="s">
        <v>743</v>
      </c>
      <c r="E89" s="166" t="s">
        <v>361</v>
      </c>
      <c r="F89" s="7" t="s">
        <v>441</v>
      </c>
      <c r="G89" s="7" t="s">
        <v>834</v>
      </c>
      <c r="H89" s="166" t="s">
        <v>753</v>
      </c>
      <c r="I89" s="47" t="s">
        <v>773</v>
      </c>
      <c r="J89" s="218">
        <v>16</v>
      </c>
      <c r="K89" s="220"/>
      <c r="L89" s="220"/>
      <c r="M89" s="47"/>
      <c r="N89" s="47" t="s">
        <v>241</v>
      </c>
      <c r="O89" s="249">
        <v>0.4</v>
      </c>
      <c r="P89" s="29" t="s">
        <v>361</v>
      </c>
      <c r="Q89" s="29" t="s">
        <v>361</v>
      </c>
      <c r="R89" s="249" t="s">
        <v>886</v>
      </c>
      <c r="S89" s="220" t="s">
        <v>275</v>
      </c>
      <c r="T89" s="18" t="e">
        <f>(#REF!-#REF!)/1.2</f>
        <v>#REF!</v>
      </c>
      <c r="U89" s="51" t="e">
        <f>T89*1.2/#REF!</f>
        <v>#REF!</v>
      </c>
      <c r="V89" s="52">
        <v>36.96</v>
      </c>
      <c r="W89" s="53" t="e">
        <f>V89*#REF!</f>
        <v>#REF!</v>
      </c>
      <c r="X89" s="55" t="e">
        <f>(W89/#REF!)-1</f>
        <v>#REF!</v>
      </c>
      <c r="Y89" s="54" t="e">
        <f>W89-#REF!</f>
        <v>#REF!</v>
      </c>
      <c r="Z89" s="55" t="e">
        <f>1-(#REF!/W89)</f>
        <v>#REF!</v>
      </c>
      <c r="AA89" s="64">
        <v>42.5</v>
      </c>
      <c r="AB89" s="63" t="e">
        <f>AA89*#REF!</f>
        <v>#REF!</v>
      </c>
      <c r="AC89" s="62" t="e">
        <f>(AB89/#REF!)-1</f>
        <v>#REF!</v>
      </c>
      <c r="AD89" s="63" t="e">
        <f>AB89-#REF!</f>
        <v>#REF!</v>
      </c>
      <c r="AE89" s="154" t="e">
        <f>1-(#REF!/AB89)</f>
        <v>#REF!</v>
      </c>
      <c r="AF89" s="157" t="s">
        <v>618</v>
      </c>
      <c r="AG89" s="7" t="s">
        <v>441</v>
      </c>
      <c r="AH89" s="220"/>
      <c r="AI89" s="220" t="s">
        <v>308</v>
      </c>
      <c r="AJ89" s="163"/>
    </row>
    <row r="90" spans="1:36" ht="90" customHeight="1">
      <c r="A90" s="266" t="s">
        <v>965</v>
      </c>
      <c r="B90" s="198"/>
      <c r="C90" s="9" t="s">
        <v>100</v>
      </c>
      <c r="D90" s="170" t="s">
        <v>743</v>
      </c>
      <c r="E90" s="168" t="s">
        <v>361</v>
      </c>
      <c r="F90" s="8" t="s">
        <v>524</v>
      </c>
      <c r="G90" s="8" t="s">
        <v>835</v>
      </c>
      <c r="H90" s="48" t="s">
        <v>753</v>
      </c>
      <c r="I90" s="48" t="s">
        <v>282</v>
      </c>
      <c r="J90" s="218">
        <v>16</v>
      </c>
      <c r="K90" s="220"/>
      <c r="L90" s="220"/>
      <c r="M90" s="167"/>
      <c r="N90" s="47" t="s">
        <v>241</v>
      </c>
      <c r="O90" s="249">
        <v>0.36</v>
      </c>
      <c r="P90" s="29" t="s">
        <v>361</v>
      </c>
      <c r="Q90" s="29" t="s">
        <v>361</v>
      </c>
      <c r="R90" s="249" t="s">
        <v>886</v>
      </c>
      <c r="S90" s="220"/>
      <c r="T90" s="18" t="e">
        <f>(#REF!-#REF!)/1.2</f>
        <v>#REF!</v>
      </c>
      <c r="U90" s="51" t="e">
        <f>T90*1.2/#REF!</f>
        <v>#REF!</v>
      </c>
      <c r="V90" s="52"/>
      <c r="W90" s="53" t="e">
        <f>V90*#REF!</f>
        <v>#REF!</v>
      </c>
      <c r="X90" s="55" t="e">
        <f>(W90/#REF!)-1</f>
        <v>#REF!</v>
      </c>
      <c r="Y90" s="54" t="e">
        <f>W90-#REF!</f>
        <v>#REF!</v>
      </c>
      <c r="Z90" s="55" t="e">
        <f>1-(#REF!/W90)</f>
        <v>#REF!</v>
      </c>
      <c r="AA90" s="64"/>
      <c r="AB90" s="63" t="e">
        <f>AA90*#REF!</f>
        <v>#REF!</v>
      </c>
      <c r="AC90" s="62" t="e">
        <f>(AB90/#REF!)-1</f>
        <v>#REF!</v>
      </c>
      <c r="AD90" s="63" t="e">
        <f>AB90-#REF!</f>
        <v>#REF!</v>
      </c>
      <c r="AE90" s="154" t="e">
        <f>1-(#REF!/AB90)</f>
        <v>#REF!</v>
      </c>
      <c r="AF90" s="157" t="s">
        <v>619</v>
      </c>
      <c r="AG90" s="8" t="s">
        <v>524</v>
      </c>
      <c r="AH90" s="220" t="s">
        <v>101</v>
      </c>
      <c r="AI90" s="220"/>
      <c r="AJ90" s="163"/>
    </row>
    <row r="91" spans="1:36" ht="99.95" customHeight="1" thickBot="1">
      <c r="A91" s="266" t="s">
        <v>966</v>
      </c>
      <c r="B91" s="199"/>
      <c r="C91" s="104" t="s">
        <v>102</v>
      </c>
      <c r="D91" s="105" t="s">
        <v>743</v>
      </c>
      <c r="E91" s="106" t="s">
        <v>361</v>
      </c>
      <c r="F91" s="123" t="s">
        <v>442</v>
      </c>
      <c r="G91" s="123" t="s">
        <v>836</v>
      </c>
      <c r="H91" s="107" t="s">
        <v>753</v>
      </c>
      <c r="I91" s="107" t="s">
        <v>283</v>
      </c>
      <c r="J91" s="218">
        <v>16</v>
      </c>
      <c r="K91" s="220"/>
      <c r="L91" s="220"/>
      <c r="M91" s="167"/>
      <c r="N91" s="106" t="s">
        <v>241</v>
      </c>
      <c r="O91" s="250">
        <v>0.45</v>
      </c>
      <c r="P91" s="108" t="s">
        <v>361</v>
      </c>
      <c r="Q91" s="108" t="s">
        <v>361</v>
      </c>
      <c r="R91" s="250" t="s">
        <v>886</v>
      </c>
      <c r="S91" s="226" t="s">
        <v>751</v>
      </c>
      <c r="T91" s="110" t="e">
        <f>(#REF!-#REF!)/1.2</f>
        <v>#REF!</v>
      </c>
      <c r="U91" s="111" t="e">
        <f>T91*1.2/#REF!</f>
        <v>#REF!</v>
      </c>
      <c r="V91" s="112">
        <v>79.2</v>
      </c>
      <c r="W91" s="113" t="e">
        <f>V91*#REF!</f>
        <v>#REF!</v>
      </c>
      <c r="X91" s="114" t="e">
        <f>(W91/#REF!)-1</f>
        <v>#REF!</v>
      </c>
      <c r="Y91" s="115" t="e">
        <f>W91-#REF!</f>
        <v>#REF!</v>
      </c>
      <c r="Z91" s="114" t="e">
        <f>1-(#REF!/W91)</f>
        <v>#REF!</v>
      </c>
      <c r="AA91" s="116">
        <v>91.08</v>
      </c>
      <c r="AB91" s="117" t="e">
        <f>AA91*#REF!</f>
        <v>#REF!</v>
      </c>
      <c r="AC91" s="118" t="e">
        <f>(AB91/#REF!)-1</f>
        <v>#REF!</v>
      </c>
      <c r="AD91" s="117" t="e">
        <f>AB91-#REF!</f>
        <v>#REF!</v>
      </c>
      <c r="AE91" s="155" t="e">
        <f>1-(#REF!/AB91)</f>
        <v>#REF!</v>
      </c>
      <c r="AF91" s="157" t="s">
        <v>620</v>
      </c>
      <c r="AG91" s="123" t="s">
        <v>442</v>
      </c>
      <c r="AH91" s="226" t="s">
        <v>103</v>
      </c>
      <c r="AI91" s="226" t="s">
        <v>315</v>
      </c>
      <c r="AJ91" s="163"/>
    </row>
    <row r="92" spans="1:36" ht="90" customHeight="1">
      <c r="A92" s="266" t="s">
        <v>967</v>
      </c>
      <c r="B92" s="181"/>
      <c r="C92" s="77" t="s">
        <v>178</v>
      </c>
      <c r="D92" s="78" t="s">
        <v>739</v>
      </c>
      <c r="E92" s="78" t="s">
        <v>742</v>
      </c>
      <c r="F92" s="78" t="s">
        <v>443</v>
      </c>
      <c r="G92" s="78" t="s">
        <v>837</v>
      </c>
      <c r="H92" s="165" t="s">
        <v>753</v>
      </c>
      <c r="I92" s="46" t="s">
        <v>360</v>
      </c>
      <c r="J92" s="218">
        <v>16</v>
      </c>
      <c r="K92" s="220"/>
      <c r="L92" s="220"/>
      <c r="M92" s="167"/>
      <c r="N92" s="46" t="s">
        <v>512</v>
      </c>
      <c r="O92" s="259">
        <v>1.9</v>
      </c>
      <c r="P92" s="131" t="s">
        <v>361</v>
      </c>
      <c r="Q92" s="131"/>
      <c r="R92" s="244" t="s">
        <v>886</v>
      </c>
      <c r="S92" s="244" t="s">
        <v>275</v>
      </c>
      <c r="T92" s="80" t="e">
        <f>(#REF!-#REF!)/1.2</f>
        <v>#REF!</v>
      </c>
      <c r="U92" s="81" t="e">
        <f>T92*1.2/#REF!</f>
        <v>#REF!</v>
      </c>
      <c r="V92" s="82">
        <v>303.60000000000002</v>
      </c>
      <c r="W92" s="83" t="e">
        <f>V92*#REF!</f>
        <v>#REF!</v>
      </c>
      <c r="X92" s="84" t="e">
        <f>(W92/#REF!)-1</f>
        <v>#REF!</v>
      </c>
      <c r="Y92" s="85" t="e">
        <f>W92-#REF!</f>
        <v>#REF!</v>
      </c>
      <c r="Z92" s="84" t="e">
        <f>1-(#REF!/W92)</f>
        <v>#REF!</v>
      </c>
      <c r="AA92" s="86">
        <v>349.14</v>
      </c>
      <c r="AB92" s="87" t="e">
        <f>AA92*#REF!</f>
        <v>#REF!</v>
      </c>
      <c r="AC92" s="88" t="e">
        <f>(AB92/#REF!)-1</f>
        <v>#REF!</v>
      </c>
      <c r="AD92" s="87" t="e">
        <f>AB92-#REF!</f>
        <v>#REF!</v>
      </c>
      <c r="AE92" s="156" t="e">
        <f>1-(#REF!/AB92)</f>
        <v>#REF!</v>
      </c>
      <c r="AF92" s="157" t="s">
        <v>621</v>
      </c>
      <c r="AG92" s="78" t="s">
        <v>443</v>
      </c>
      <c r="AH92" s="228" t="s">
        <v>179</v>
      </c>
      <c r="AI92" s="228" t="s">
        <v>261</v>
      </c>
      <c r="AJ92" s="163"/>
    </row>
    <row r="93" spans="1:36" ht="90" customHeight="1">
      <c r="A93" s="266" t="s">
        <v>968</v>
      </c>
      <c r="B93" s="182"/>
      <c r="C93" s="6" t="s">
        <v>180</v>
      </c>
      <c r="D93" s="7" t="s">
        <v>739</v>
      </c>
      <c r="E93" s="7" t="s">
        <v>742</v>
      </c>
      <c r="F93" s="7" t="s">
        <v>444</v>
      </c>
      <c r="G93" s="7" t="s">
        <v>837</v>
      </c>
      <c r="H93" s="166" t="s">
        <v>753</v>
      </c>
      <c r="I93" s="38" t="s">
        <v>360</v>
      </c>
      <c r="J93" s="218">
        <v>16</v>
      </c>
      <c r="K93" s="220"/>
      <c r="L93" s="220"/>
      <c r="M93" s="167"/>
      <c r="N93" s="38" t="s">
        <v>512</v>
      </c>
      <c r="O93" s="249">
        <v>1.9</v>
      </c>
      <c r="P93" s="30" t="s">
        <v>361</v>
      </c>
      <c r="Q93" s="30" t="s">
        <v>361</v>
      </c>
      <c r="R93" s="245" t="s">
        <v>886</v>
      </c>
      <c r="S93" s="245" t="s">
        <v>275</v>
      </c>
      <c r="T93" s="18" t="e">
        <f>(#REF!-#REF!)/1.2</f>
        <v>#REF!</v>
      </c>
      <c r="U93" s="51" t="e">
        <f>T93*1.2/#REF!</f>
        <v>#REF!</v>
      </c>
      <c r="V93" s="52">
        <v>303.60000000000002</v>
      </c>
      <c r="W93" s="53" t="e">
        <f>V93*#REF!</f>
        <v>#REF!</v>
      </c>
      <c r="X93" s="55" t="e">
        <f>(W93/#REF!)-1</f>
        <v>#REF!</v>
      </c>
      <c r="Y93" s="54" t="e">
        <f>W93-#REF!</f>
        <v>#REF!</v>
      </c>
      <c r="Z93" s="55" t="e">
        <f>1-(#REF!/W93)</f>
        <v>#REF!</v>
      </c>
      <c r="AA93" s="64">
        <v>349.14</v>
      </c>
      <c r="AB93" s="63" t="e">
        <f>AA93*#REF!</f>
        <v>#REF!</v>
      </c>
      <c r="AC93" s="62" t="e">
        <f>(AB93/#REF!)-1</f>
        <v>#REF!</v>
      </c>
      <c r="AD93" s="63" t="e">
        <f>AB93-#REF!</f>
        <v>#REF!</v>
      </c>
      <c r="AE93" s="154" t="e">
        <f>1-(#REF!/AB93)</f>
        <v>#REF!</v>
      </c>
      <c r="AF93" s="157" t="s">
        <v>621</v>
      </c>
      <c r="AG93" s="7" t="s">
        <v>444</v>
      </c>
      <c r="AH93" s="220" t="s">
        <v>181</v>
      </c>
      <c r="AI93" s="220" t="s">
        <v>261</v>
      </c>
      <c r="AJ93" s="163"/>
    </row>
    <row r="94" spans="1:36" ht="110.1" customHeight="1">
      <c r="A94" s="266" t="s">
        <v>969</v>
      </c>
      <c r="B94" s="44"/>
      <c r="C94" s="6" t="s">
        <v>182</v>
      </c>
      <c r="D94" s="7" t="s">
        <v>739</v>
      </c>
      <c r="E94" s="7" t="s">
        <v>742</v>
      </c>
      <c r="F94" s="7" t="s">
        <v>525</v>
      </c>
      <c r="G94" s="7" t="s">
        <v>838</v>
      </c>
      <c r="H94" s="166" t="s">
        <v>753</v>
      </c>
      <c r="I94" s="38" t="s">
        <v>262</v>
      </c>
      <c r="J94" s="218">
        <v>16</v>
      </c>
      <c r="K94" s="220"/>
      <c r="L94" s="220"/>
      <c r="M94" s="167"/>
      <c r="N94" s="38" t="s">
        <v>512</v>
      </c>
      <c r="O94" s="249">
        <v>2.2999999999999998</v>
      </c>
      <c r="P94" s="30" t="s">
        <v>361</v>
      </c>
      <c r="Q94" s="30" t="s">
        <v>361</v>
      </c>
      <c r="R94" s="245" t="s">
        <v>886</v>
      </c>
      <c r="S94" s="245" t="s">
        <v>275</v>
      </c>
      <c r="T94" s="18" t="e">
        <f>(#REF!-#REF!)/1.2</f>
        <v>#REF!</v>
      </c>
      <c r="U94" s="51" t="e">
        <f>T94*1.2/#REF!</f>
        <v>#REF!</v>
      </c>
      <c r="V94" s="52">
        <v>303.60000000000002</v>
      </c>
      <c r="W94" s="53" t="e">
        <f>V94*#REF!</f>
        <v>#REF!</v>
      </c>
      <c r="X94" s="55" t="e">
        <f>(W94/#REF!)-1</f>
        <v>#REF!</v>
      </c>
      <c r="Y94" s="54" t="e">
        <f>W94-#REF!</f>
        <v>#REF!</v>
      </c>
      <c r="Z94" s="55" t="e">
        <f>1-(#REF!/W94)</f>
        <v>#REF!</v>
      </c>
      <c r="AA94" s="64">
        <v>349.14</v>
      </c>
      <c r="AB94" s="63" t="e">
        <f>AA94*#REF!</f>
        <v>#REF!</v>
      </c>
      <c r="AC94" s="62" t="e">
        <f>(AB94/#REF!)-1</f>
        <v>#REF!</v>
      </c>
      <c r="AD94" s="63" t="e">
        <f>AB94-#REF!</f>
        <v>#REF!</v>
      </c>
      <c r="AE94" s="154" t="e">
        <f>1-(#REF!/AB94)</f>
        <v>#REF!</v>
      </c>
      <c r="AF94" s="157" t="s">
        <v>622</v>
      </c>
      <c r="AG94" s="7" t="s">
        <v>525</v>
      </c>
      <c r="AH94" s="220" t="s">
        <v>183</v>
      </c>
      <c r="AI94" s="220" t="s">
        <v>264</v>
      </c>
      <c r="AJ94" s="163"/>
    </row>
    <row r="95" spans="1:36" ht="110.1" customHeight="1" thickBot="1">
      <c r="A95" s="266" t="s">
        <v>970</v>
      </c>
      <c r="B95" s="44"/>
      <c r="C95" s="6" t="s">
        <v>184</v>
      </c>
      <c r="D95" s="7" t="s">
        <v>739</v>
      </c>
      <c r="E95" s="7" t="s">
        <v>742</v>
      </c>
      <c r="F95" s="7" t="s">
        <v>526</v>
      </c>
      <c r="G95" s="7" t="s">
        <v>838</v>
      </c>
      <c r="H95" s="166" t="s">
        <v>753</v>
      </c>
      <c r="I95" s="38" t="s">
        <v>262</v>
      </c>
      <c r="J95" s="218">
        <v>16</v>
      </c>
      <c r="K95" s="220"/>
      <c r="L95" s="220"/>
      <c r="M95" s="167"/>
      <c r="N95" s="179" t="s">
        <v>512</v>
      </c>
      <c r="O95" s="249">
        <v>2.2999999999999998</v>
      </c>
      <c r="P95" s="30" t="s">
        <v>361</v>
      </c>
      <c r="Q95" s="30" t="s">
        <v>361</v>
      </c>
      <c r="R95" s="245" t="s">
        <v>886</v>
      </c>
      <c r="S95" s="245" t="s">
        <v>275</v>
      </c>
      <c r="T95" s="18" t="e">
        <f>(#REF!-#REF!)/1.2</f>
        <v>#REF!</v>
      </c>
      <c r="U95" s="51" t="e">
        <f>T95*1.2/#REF!</f>
        <v>#REF!</v>
      </c>
      <c r="V95" s="52">
        <v>303.60000000000002</v>
      </c>
      <c r="W95" s="53" t="e">
        <f>V95*#REF!</f>
        <v>#REF!</v>
      </c>
      <c r="X95" s="55" t="e">
        <f>(W95/#REF!)-1</f>
        <v>#REF!</v>
      </c>
      <c r="Y95" s="54" t="e">
        <f>W95-#REF!</f>
        <v>#REF!</v>
      </c>
      <c r="Z95" s="55" t="e">
        <f>1-(#REF!/W95)</f>
        <v>#REF!</v>
      </c>
      <c r="AA95" s="64">
        <v>349.14</v>
      </c>
      <c r="AB95" s="63" t="e">
        <f>AA95*#REF!</f>
        <v>#REF!</v>
      </c>
      <c r="AC95" s="62" t="e">
        <f>(AB95/#REF!)-1</f>
        <v>#REF!</v>
      </c>
      <c r="AD95" s="63" t="e">
        <f>AB95-#REF!</f>
        <v>#REF!</v>
      </c>
      <c r="AE95" s="154" t="e">
        <f>1-(#REF!/AB95)</f>
        <v>#REF!</v>
      </c>
      <c r="AF95" s="157" t="s">
        <v>622</v>
      </c>
      <c r="AG95" s="7" t="s">
        <v>526</v>
      </c>
      <c r="AH95" s="220" t="s">
        <v>185</v>
      </c>
      <c r="AI95" s="220" t="s">
        <v>263</v>
      </c>
      <c r="AJ95" s="163"/>
    </row>
    <row r="96" spans="1:36" ht="90" customHeight="1" thickBot="1">
      <c r="A96" s="266" t="s">
        <v>971</v>
      </c>
      <c r="B96" s="200"/>
      <c r="C96" s="89" t="s">
        <v>104</v>
      </c>
      <c r="D96" s="90" t="s">
        <v>744</v>
      </c>
      <c r="E96" s="91" t="s">
        <v>361</v>
      </c>
      <c r="F96" s="90" t="s">
        <v>284</v>
      </c>
      <c r="G96" s="125" t="s">
        <v>840</v>
      </c>
      <c r="H96" s="92" t="s">
        <v>753</v>
      </c>
      <c r="I96" s="92" t="s">
        <v>774</v>
      </c>
      <c r="J96" s="91">
        <v>16</v>
      </c>
      <c r="K96" s="220"/>
      <c r="L96" s="220"/>
      <c r="M96" s="167"/>
      <c r="N96" s="218" t="s">
        <v>839</v>
      </c>
      <c r="O96" s="261">
        <v>0.08</v>
      </c>
      <c r="P96" s="92" t="s">
        <v>361</v>
      </c>
      <c r="Q96" s="92" t="s">
        <v>361</v>
      </c>
      <c r="R96" s="228"/>
      <c r="S96" s="220"/>
      <c r="T96" s="95" t="e">
        <f>(#REF!-#REF!)/1.2</f>
        <v>#REF!</v>
      </c>
      <c r="U96" s="96" t="e">
        <f>T96*1.2/#REF!</f>
        <v>#REF!</v>
      </c>
      <c r="V96" s="97">
        <v>68.64</v>
      </c>
      <c r="W96" s="98" t="e">
        <f>V96*#REF!</f>
        <v>#REF!</v>
      </c>
      <c r="X96" s="99" t="e">
        <f>(W96/#REF!)-1</f>
        <v>#REF!</v>
      </c>
      <c r="Y96" s="100" t="e">
        <f>W96-#REF!</f>
        <v>#REF!</v>
      </c>
      <c r="Z96" s="99" t="e">
        <f>1-(#REF!/W96)</f>
        <v>#REF!</v>
      </c>
      <c r="AA96" s="101">
        <v>78.94</v>
      </c>
      <c r="AB96" s="102" t="e">
        <f>AA96*#REF!</f>
        <v>#REF!</v>
      </c>
      <c r="AC96" s="103" t="e">
        <f>(AB96/#REF!)-1</f>
        <v>#REF!</v>
      </c>
      <c r="AD96" s="102" t="e">
        <f>AB96-#REF!</f>
        <v>#REF!</v>
      </c>
      <c r="AE96" s="153" t="e">
        <f>1-(#REF!/AB96)</f>
        <v>#REF!</v>
      </c>
      <c r="AF96" s="157" t="s">
        <v>623</v>
      </c>
      <c r="AG96" s="125" t="s">
        <v>284</v>
      </c>
      <c r="AH96" s="224" t="s">
        <v>105</v>
      </c>
      <c r="AI96" s="224">
        <v>160510</v>
      </c>
      <c r="AJ96" s="163"/>
    </row>
    <row r="97" spans="1:36" ht="99.95" customHeight="1" thickBot="1">
      <c r="A97" s="266" t="s">
        <v>972</v>
      </c>
      <c r="B97" s="197"/>
      <c r="C97" s="6" t="s">
        <v>106</v>
      </c>
      <c r="D97" s="7" t="s">
        <v>744</v>
      </c>
      <c r="E97" s="166" t="s">
        <v>361</v>
      </c>
      <c r="F97" s="7" t="s">
        <v>285</v>
      </c>
      <c r="G97" s="8" t="s">
        <v>841</v>
      </c>
      <c r="H97" s="48" t="s">
        <v>753</v>
      </c>
      <c r="I97" s="48" t="s">
        <v>775</v>
      </c>
      <c r="J97" s="91">
        <v>16</v>
      </c>
      <c r="K97" s="220"/>
      <c r="L97" s="220"/>
      <c r="M97" s="167"/>
      <c r="N97" s="218" t="s">
        <v>839</v>
      </c>
      <c r="O97" s="249">
        <v>0.1</v>
      </c>
      <c r="P97" s="48" t="s">
        <v>361</v>
      </c>
      <c r="Q97" s="48" t="s">
        <v>361</v>
      </c>
      <c r="R97" s="220"/>
      <c r="S97" s="220"/>
      <c r="T97" s="18" t="e">
        <f>(#REF!-#REF!)/1.2</f>
        <v>#REF!</v>
      </c>
      <c r="U97" s="51" t="e">
        <f>T97*1.2/#REF!</f>
        <v>#REF!</v>
      </c>
      <c r="V97" s="52">
        <v>83.16</v>
      </c>
      <c r="W97" s="53" t="e">
        <f>V97*#REF!</f>
        <v>#REF!</v>
      </c>
      <c r="X97" s="55" t="e">
        <f>(W97/#REF!)-1</f>
        <v>#REF!</v>
      </c>
      <c r="Y97" s="54" t="e">
        <f>W97-#REF!</f>
        <v>#REF!</v>
      </c>
      <c r="Z97" s="55" t="e">
        <f>1-(#REF!/W97)</f>
        <v>#REF!</v>
      </c>
      <c r="AA97" s="64">
        <v>95.63</v>
      </c>
      <c r="AB97" s="63" t="e">
        <f>AA97*#REF!</f>
        <v>#REF!</v>
      </c>
      <c r="AC97" s="62" t="e">
        <f>(AB97/#REF!)-1</f>
        <v>#REF!</v>
      </c>
      <c r="AD97" s="63" t="e">
        <f>AB97-#REF!</f>
        <v>#REF!</v>
      </c>
      <c r="AE97" s="154" t="e">
        <f>1-(#REF!/AB97)</f>
        <v>#REF!</v>
      </c>
      <c r="AF97" s="157" t="s">
        <v>624</v>
      </c>
      <c r="AG97" s="8" t="s">
        <v>285</v>
      </c>
      <c r="AH97" s="220" t="s">
        <v>107</v>
      </c>
      <c r="AI97" s="220">
        <v>160512</v>
      </c>
      <c r="AJ97" s="163"/>
    </row>
    <row r="98" spans="1:36" ht="90" customHeight="1" thickBot="1">
      <c r="A98" s="266" t="s">
        <v>973</v>
      </c>
      <c r="B98" s="197"/>
      <c r="C98" s="6" t="s">
        <v>108</v>
      </c>
      <c r="D98" s="7" t="s">
        <v>744</v>
      </c>
      <c r="E98" s="166" t="s">
        <v>361</v>
      </c>
      <c r="F98" s="14" t="s">
        <v>286</v>
      </c>
      <c r="G98" s="11" t="s">
        <v>842</v>
      </c>
      <c r="H98" s="10" t="s">
        <v>753</v>
      </c>
      <c r="I98" s="10" t="s">
        <v>774</v>
      </c>
      <c r="J98" s="91">
        <v>16</v>
      </c>
      <c r="K98" s="220"/>
      <c r="L98" s="220"/>
      <c r="M98" s="167"/>
      <c r="N98" s="218" t="s">
        <v>839</v>
      </c>
      <c r="O98" s="245">
        <v>0.04</v>
      </c>
      <c r="P98" s="48" t="s">
        <v>361</v>
      </c>
      <c r="Q98" s="48" t="s">
        <v>361</v>
      </c>
      <c r="R98" s="220"/>
      <c r="S98" s="220"/>
      <c r="T98" s="18" t="e">
        <f>(#REF!-#REF!)/1.2</f>
        <v>#REF!</v>
      </c>
      <c r="U98" s="51" t="e">
        <f>T98*1.2/#REF!</f>
        <v>#REF!</v>
      </c>
      <c r="V98" s="52">
        <v>56.76</v>
      </c>
      <c r="W98" s="53" t="e">
        <f>V98*#REF!</f>
        <v>#REF!</v>
      </c>
      <c r="X98" s="55" t="e">
        <f>(W98/#REF!)-1</f>
        <v>#REF!</v>
      </c>
      <c r="Y98" s="54" t="e">
        <f>W98-#REF!</f>
        <v>#REF!</v>
      </c>
      <c r="Z98" s="55" t="e">
        <f>1-(#REF!/W98)</f>
        <v>#REF!</v>
      </c>
      <c r="AA98" s="64">
        <v>65.27</v>
      </c>
      <c r="AB98" s="63" t="e">
        <f>AA98*#REF!</f>
        <v>#REF!</v>
      </c>
      <c r="AC98" s="62" t="e">
        <f>(AB98/#REF!)-1</f>
        <v>#REF!</v>
      </c>
      <c r="AD98" s="63" t="e">
        <f>AB98-#REF!</f>
        <v>#REF!</v>
      </c>
      <c r="AE98" s="154" t="e">
        <f>1-(#REF!/AB98)</f>
        <v>#REF!</v>
      </c>
      <c r="AF98" s="157" t="s">
        <v>625</v>
      </c>
      <c r="AG98" s="11" t="s">
        <v>286</v>
      </c>
      <c r="AH98" s="220" t="s">
        <v>109</v>
      </c>
      <c r="AI98" s="220">
        <v>160528</v>
      </c>
      <c r="AJ98" s="163"/>
    </row>
    <row r="99" spans="1:36" ht="99.95" customHeight="1">
      <c r="A99" s="266" t="s">
        <v>974</v>
      </c>
      <c r="B99" s="197"/>
      <c r="C99" s="6" t="s">
        <v>110</v>
      </c>
      <c r="D99" s="7" t="s">
        <v>744</v>
      </c>
      <c r="E99" s="166" t="s">
        <v>361</v>
      </c>
      <c r="F99" s="14" t="s">
        <v>287</v>
      </c>
      <c r="G99" s="11" t="s">
        <v>843</v>
      </c>
      <c r="H99" s="10" t="s">
        <v>753</v>
      </c>
      <c r="I99" s="10" t="s">
        <v>775</v>
      </c>
      <c r="J99" s="91">
        <v>16</v>
      </c>
      <c r="K99" s="220"/>
      <c r="L99" s="220"/>
      <c r="M99" s="167"/>
      <c r="N99" s="218" t="s">
        <v>839</v>
      </c>
      <c r="O99" s="245">
        <v>0.06</v>
      </c>
      <c r="P99" s="48" t="s">
        <v>361</v>
      </c>
      <c r="Q99" s="48" t="s">
        <v>361</v>
      </c>
      <c r="R99" s="220"/>
      <c r="S99" s="220"/>
      <c r="T99" s="18" t="e">
        <f>(#REF!-#REF!)/1.2</f>
        <v>#REF!</v>
      </c>
      <c r="U99" s="51" t="e">
        <f>T99*1.2/#REF!</f>
        <v>#REF!</v>
      </c>
      <c r="V99" s="52">
        <v>68.64</v>
      </c>
      <c r="W99" s="53" t="e">
        <f>V99*#REF!</f>
        <v>#REF!</v>
      </c>
      <c r="X99" s="55" t="e">
        <f>(W99/#REF!)-1</f>
        <v>#REF!</v>
      </c>
      <c r="Y99" s="54" t="e">
        <f>W99-#REF!</f>
        <v>#REF!</v>
      </c>
      <c r="Z99" s="55" t="e">
        <f>1-(#REF!/W99)</f>
        <v>#REF!</v>
      </c>
      <c r="AA99" s="64">
        <v>78.94</v>
      </c>
      <c r="AB99" s="63" t="e">
        <f>AA99*#REF!</f>
        <v>#REF!</v>
      </c>
      <c r="AC99" s="62" t="e">
        <f>(AB99/#REF!)-1</f>
        <v>#REF!</v>
      </c>
      <c r="AD99" s="63" t="e">
        <f>AB99-#REF!</f>
        <v>#REF!</v>
      </c>
      <c r="AE99" s="154" t="e">
        <f>1-(#REF!/AB99)</f>
        <v>#REF!</v>
      </c>
      <c r="AF99" s="157" t="s">
        <v>626</v>
      </c>
      <c r="AG99" s="11" t="s">
        <v>287</v>
      </c>
      <c r="AH99" s="220" t="s">
        <v>111</v>
      </c>
      <c r="AI99" s="220">
        <v>160529</v>
      </c>
      <c r="AJ99" s="163"/>
    </row>
    <row r="100" spans="1:36" ht="90" customHeight="1">
      <c r="A100" s="266" t="s">
        <v>975</v>
      </c>
      <c r="B100" s="201"/>
      <c r="C100" s="13" t="s">
        <v>112</v>
      </c>
      <c r="D100" s="14" t="s">
        <v>744</v>
      </c>
      <c r="E100" s="13" t="s">
        <v>361</v>
      </c>
      <c r="F100" s="11" t="s">
        <v>288</v>
      </c>
      <c r="G100" s="11" t="s">
        <v>844</v>
      </c>
      <c r="H100" s="10" t="s">
        <v>753</v>
      </c>
      <c r="I100" s="10" t="s">
        <v>776</v>
      </c>
      <c r="J100" s="13">
        <v>16</v>
      </c>
      <c r="K100" s="220"/>
      <c r="L100" s="220"/>
      <c r="M100" s="167"/>
      <c r="N100" s="47" t="s">
        <v>512</v>
      </c>
      <c r="O100" s="245">
        <v>0.04</v>
      </c>
      <c r="P100" s="29" t="s">
        <v>361</v>
      </c>
      <c r="Q100" s="29" t="s">
        <v>361</v>
      </c>
      <c r="R100" s="249" t="s">
        <v>888</v>
      </c>
      <c r="S100" s="220"/>
      <c r="T100" s="18" t="e">
        <f>(#REF!-#REF!)/1.2</f>
        <v>#REF!</v>
      </c>
      <c r="U100" s="51" t="e">
        <f>T100*1.2/#REF!</f>
        <v>#REF!</v>
      </c>
      <c r="V100" s="52">
        <v>35.64</v>
      </c>
      <c r="W100" s="53" t="e">
        <f>V100*#REF!</f>
        <v>#REF!</v>
      </c>
      <c r="X100" s="55" t="e">
        <f>(W100/#REF!)-1</f>
        <v>#REF!</v>
      </c>
      <c r="Y100" s="54" t="e">
        <f>W100-#REF!</f>
        <v>#REF!</v>
      </c>
      <c r="Z100" s="55" t="e">
        <f>1-(#REF!/W100)</f>
        <v>#REF!</v>
      </c>
      <c r="AA100" s="64">
        <v>40.99</v>
      </c>
      <c r="AB100" s="63" t="e">
        <f>AA100*#REF!</f>
        <v>#REF!</v>
      </c>
      <c r="AC100" s="62" t="e">
        <f>(AB100/#REF!)-1</f>
        <v>#REF!</v>
      </c>
      <c r="AD100" s="63" t="e">
        <f>AB100-#REF!</f>
        <v>#REF!</v>
      </c>
      <c r="AE100" s="154" t="e">
        <f>1-(#REF!/AB100)</f>
        <v>#REF!</v>
      </c>
      <c r="AF100" s="157" t="s">
        <v>627</v>
      </c>
      <c r="AG100" s="11" t="s">
        <v>288</v>
      </c>
      <c r="AH100" s="231" t="s">
        <v>113</v>
      </c>
      <c r="AI100" s="231" t="s">
        <v>316</v>
      </c>
      <c r="AJ100" s="163"/>
    </row>
    <row r="101" spans="1:36" ht="99.95" customHeight="1">
      <c r="A101" s="266" t="s">
        <v>976</v>
      </c>
      <c r="B101" s="201"/>
      <c r="C101" s="13" t="s">
        <v>114</v>
      </c>
      <c r="D101" s="14" t="s">
        <v>744</v>
      </c>
      <c r="E101" s="13" t="s">
        <v>361</v>
      </c>
      <c r="F101" s="7" t="s">
        <v>289</v>
      </c>
      <c r="G101" s="7" t="s">
        <v>845</v>
      </c>
      <c r="H101" s="166" t="s">
        <v>753</v>
      </c>
      <c r="I101" s="10" t="s">
        <v>777</v>
      </c>
      <c r="J101" s="13">
        <v>16</v>
      </c>
      <c r="K101" s="220"/>
      <c r="L101" s="220"/>
      <c r="M101" s="167"/>
      <c r="N101" s="47" t="s">
        <v>512</v>
      </c>
      <c r="O101" s="245">
        <v>0.05</v>
      </c>
      <c r="P101" s="29" t="s">
        <v>361</v>
      </c>
      <c r="Q101" s="29" t="s">
        <v>361</v>
      </c>
      <c r="R101" s="249" t="s">
        <v>888</v>
      </c>
      <c r="S101" s="220"/>
      <c r="T101" s="18" t="e">
        <f>(#REF!-#REF!)/1.2</f>
        <v>#REF!</v>
      </c>
      <c r="U101" s="51" t="e">
        <f>T101*1.2/#REF!</f>
        <v>#REF!</v>
      </c>
      <c r="V101" s="52">
        <v>42.24</v>
      </c>
      <c r="W101" s="53" t="e">
        <f>V101*#REF!</f>
        <v>#REF!</v>
      </c>
      <c r="X101" s="55" t="e">
        <f>(W101/#REF!)-1</f>
        <v>#REF!</v>
      </c>
      <c r="Y101" s="54" t="e">
        <f>W101-#REF!</f>
        <v>#REF!</v>
      </c>
      <c r="Z101" s="55" t="e">
        <f>1-(#REF!/W101)</f>
        <v>#REF!</v>
      </c>
      <c r="AA101" s="64">
        <v>48.58</v>
      </c>
      <c r="AB101" s="63" t="e">
        <f>AA101*#REF!</f>
        <v>#REF!</v>
      </c>
      <c r="AC101" s="62" t="e">
        <f>(AB101/#REF!)-1</f>
        <v>#REF!</v>
      </c>
      <c r="AD101" s="63" t="e">
        <f>AB101-#REF!</f>
        <v>#REF!</v>
      </c>
      <c r="AE101" s="154" t="e">
        <f>1-(#REF!/AB101)</f>
        <v>#REF!</v>
      </c>
      <c r="AF101" s="157" t="s">
        <v>628</v>
      </c>
      <c r="AG101" s="7" t="s">
        <v>289</v>
      </c>
      <c r="AH101" s="231" t="s">
        <v>115</v>
      </c>
      <c r="AI101" s="231">
        <v>160561</v>
      </c>
      <c r="AJ101" s="163"/>
    </row>
    <row r="102" spans="1:36" ht="90" customHeight="1" thickBot="1">
      <c r="A102" s="266" t="s">
        <v>977</v>
      </c>
      <c r="B102" s="202"/>
      <c r="C102" s="128" t="s">
        <v>116</v>
      </c>
      <c r="D102" s="171" t="s">
        <v>744</v>
      </c>
      <c r="E102" s="128" t="s">
        <v>361</v>
      </c>
      <c r="F102" s="105" t="s">
        <v>290</v>
      </c>
      <c r="G102" s="105" t="s">
        <v>846</v>
      </c>
      <c r="H102" s="106" t="s">
        <v>753</v>
      </c>
      <c r="I102" s="106" t="s">
        <v>778</v>
      </c>
      <c r="J102" s="13">
        <v>16</v>
      </c>
      <c r="K102" s="220"/>
      <c r="L102" s="220"/>
      <c r="M102" s="167"/>
      <c r="N102" s="106" t="s">
        <v>512</v>
      </c>
      <c r="O102" s="250">
        <v>0.09</v>
      </c>
      <c r="P102" s="108" t="s">
        <v>361</v>
      </c>
      <c r="Q102" s="108" t="s">
        <v>361</v>
      </c>
      <c r="R102" s="258" t="s">
        <v>888</v>
      </c>
      <c r="S102" s="220"/>
      <c r="T102" s="110" t="e">
        <f>(#REF!-#REF!)/1.2</f>
        <v>#REF!</v>
      </c>
      <c r="U102" s="111" t="e">
        <f>T102*1.2/#REF!</f>
        <v>#REF!</v>
      </c>
      <c r="V102" s="112">
        <v>22.44</v>
      </c>
      <c r="W102" s="113" t="e">
        <f>V102*#REF!</f>
        <v>#REF!</v>
      </c>
      <c r="X102" s="114" t="e">
        <f>(W102/#REF!)-1</f>
        <v>#REF!</v>
      </c>
      <c r="Y102" s="115" t="e">
        <f>W102-#REF!</f>
        <v>#REF!</v>
      </c>
      <c r="Z102" s="114" t="e">
        <f>1-(#REF!/W102)</f>
        <v>#REF!</v>
      </c>
      <c r="AA102" s="116">
        <v>26.93</v>
      </c>
      <c r="AB102" s="117" t="e">
        <f>AA102*#REF!</f>
        <v>#REF!</v>
      </c>
      <c r="AC102" s="118" t="e">
        <f>(AB102/#REF!)-1</f>
        <v>#REF!</v>
      </c>
      <c r="AD102" s="117" t="e">
        <f>AB102-#REF!</f>
        <v>#REF!</v>
      </c>
      <c r="AE102" s="155" t="e">
        <f>1-(#REF!/AB102)</f>
        <v>#REF!</v>
      </c>
      <c r="AF102" s="157" t="s">
        <v>629</v>
      </c>
      <c r="AG102" s="105" t="s">
        <v>290</v>
      </c>
      <c r="AH102" s="232" t="s">
        <v>117</v>
      </c>
      <c r="AI102" s="233">
        <v>160540</v>
      </c>
      <c r="AJ102" s="163"/>
    </row>
    <row r="103" spans="1:36" ht="99.95" customHeight="1" thickBot="1">
      <c r="A103" s="266" t="s">
        <v>978</v>
      </c>
      <c r="B103" s="191"/>
      <c r="C103" s="89" t="s">
        <v>118</v>
      </c>
      <c r="D103" s="90" t="s">
        <v>745</v>
      </c>
      <c r="E103" s="91" t="s">
        <v>361</v>
      </c>
      <c r="F103" s="90" t="s">
        <v>291</v>
      </c>
      <c r="G103" s="90" t="s">
        <v>851</v>
      </c>
      <c r="H103" s="91" t="s">
        <v>753</v>
      </c>
      <c r="I103" s="91" t="s">
        <v>452</v>
      </c>
      <c r="J103" s="13">
        <v>16</v>
      </c>
      <c r="K103" s="220"/>
      <c r="L103" s="220"/>
      <c r="M103" s="167"/>
      <c r="N103" s="91" t="s">
        <v>512</v>
      </c>
      <c r="O103" s="261">
        <v>0.52</v>
      </c>
      <c r="P103" s="93" t="s">
        <v>361</v>
      </c>
      <c r="Q103" s="93" t="s">
        <v>361</v>
      </c>
      <c r="R103" s="259" t="s">
        <v>888</v>
      </c>
      <c r="S103" s="220"/>
      <c r="T103" s="95" t="e">
        <f>(#REF!-#REF!)/1.2</f>
        <v>#REF!</v>
      </c>
      <c r="U103" s="96" t="e">
        <f>T103*1.2/#REF!</f>
        <v>#REF!</v>
      </c>
      <c r="V103" s="97">
        <v>117.48</v>
      </c>
      <c r="W103" s="98" t="e">
        <f>V103*#REF!</f>
        <v>#REF!</v>
      </c>
      <c r="X103" s="99" t="e">
        <f>(W103/#REF!)-1</f>
        <v>#REF!</v>
      </c>
      <c r="Y103" s="100" t="e">
        <f>W103-#REF!</f>
        <v>#REF!</v>
      </c>
      <c r="Z103" s="99" t="e">
        <f>1-(#REF!/W103)</f>
        <v>#REF!</v>
      </c>
      <c r="AA103" s="101">
        <v>135.1</v>
      </c>
      <c r="AB103" s="102" t="e">
        <f>AA103*#REF!</f>
        <v>#REF!</v>
      </c>
      <c r="AC103" s="103" t="e">
        <f>(AB103/#REF!)-1</f>
        <v>#REF!</v>
      </c>
      <c r="AD103" s="102" t="e">
        <f>AB103-#REF!</f>
        <v>#REF!</v>
      </c>
      <c r="AE103" s="153" t="e">
        <f>1-(#REF!/AB103)</f>
        <v>#REF!</v>
      </c>
      <c r="AF103" s="157" t="s">
        <v>630</v>
      </c>
      <c r="AG103" s="90" t="s">
        <v>291</v>
      </c>
      <c r="AH103" s="224" t="s">
        <v>119</v>
      </c>
      <c r="AI103" s="224">
        <v>160601</v>
      </c>
      <c r="AJ103" s="163"/>
    </row>
    <row r="104" spans="1:36" ht="110.1" customHeight="1">
      <c r="A104" s="266" t="s">
        <v>979</v>
      </c>
      <c r="B104" s="192"/>
      <c r="C104" s="6" t="s">
        <v>120</v>
      </c>
      <c r="D104" s="7" t="s">
        <v>745</v>
      </c>
      <c r="E104" s="166" t="s">
        <v>361</v>
      </c>
      <c r="F104" s="7" t="s">
        <v>292</v>
      </c>
      <c r="G104" s="90" t="s">
        <v>852</v>
      </c>
      <c r="H104" s="166" t="s">
        <v>753</v>
      </c>
      <c r="I104" s="47" t="s">
        <v>453</v>
      </c>
      <c r="J104" s="13">
        <v>16</v>
      </c>
      <c r="K104" s="220"/>
      <c r="L104" s="220"/>
      <c r="M104" s="167"/>
      <c r="N104" s="47" t="s">
        <v>512</v>
      </c>
      <c r="O104" s="249">
        <v>0.65</v>
      </c>
      <c r="P104" s="29" t="s">
        <v>361</v>
      </c>
      <c r="Q104" s="29" t="s">
        <v>361</v>
      </c>
      <c r="R104" s="249" t="s">
        <v>888</v>
      </c>
      <c r="S104" s="220"/>
      <c r="T104" s="18" t="e">
        <f>(#REF!-#REF!)/1.2</f>
        <v>#REF!</v>
      </c>
      <c r="U104" s="51" t="e">
        <f>T104*1.2/#REF!</f>
        <v>#REF!</v>
      </c>
      <c r="V104" s="52">
        <v>117.48</v>
      </c>
      <c r="W104" s="53" t="e">
        <f>V104*#REF!</f>
        <v>#REF!</v>
      </c>
      <c r="X104" s="55" t="e">
        <f>(W104/#REF!)-1</f>
        <v>#REF!</v>
      </c>
      <c r="Y104" s="54" t="e">
        <f>W104-#REF!</f>
        <v>#REF!</v>
      </c>
      <c r="Z104" s="55" t="e">
        <f>1-(#REF!/W104)</f>
        <v>#REF!</v>
      </c>
      <c r="AA104" s="64">
        <v>135.1</v>
      </c>
      <c r="AB104" s="63" t="e">
        <f>AA104*#REF!</f>
        <v>#REF!</v>
      </c>
      <c r="AC104" s="62" t="e">
        <f>(AB104/#REF!)-1</f>
        <v>#REF!</v>
      </c>
      <c r="AD104" s="63" t="e">
        <f>AB104-#REF!</f>
        <v>#REF!</v>
      </c>
      <c r="AE104" s="154" t="e">
        <f>1-(#REF!/AB104)</f>
        <v>#REF!</v>
      </c>
      <c r="AF104" s="157" t="s">
        <v>631</v>
      </c>
      <c r="AG104" s="7" t="s">
        <v>292</v>
      </c>
      <c r="AH104" s="220" t="s">
        <v>119</v>
      </c>
      <c r="AI104" s="220">
        <v>160601</v>
      </c>
      <c r="AJ104" s="163"/>
    </row>
    <row r="105" spans="1:36" ht="99.95" customHeight="1">
      <c r="A105" s="266" t="s">
        <v>980</v>
      </c>
      <c r="B105" s="192"/>
      <c r="C105" s="6" t="s">
        <v>121</v>
      </c>
      <c r="D105" s="7" t="s">
        <v>745</v>
      </c>
      <c r="E105" s="166" t="s">
        <v>361</v>
      </c>
      <c r="F105" s="7" t="s">
        <v>454</v>
      </c>
      <c r="G105" s="7" t="s">
        <v>853</v>
      </c>
      <c r="H105" s="166" t="s">
        <v>753</v>
      </c>
      <c r="I105" s="47" t="s">
        <v>452</v>
      </c>
      <c r="J105" s="13">
        <v>16</v>
      </c>
      <c r="K105" s="220"/>
      <c r="L105" s="220"/>
      <c r="M105" s="167"/>
      <c r="N105" s="47" t="s">
        <v>512</v>
      </c>
      <c r="O105" s="249">
        <v>0.57999999999999996</v>
      </c>
      <c r="P105" s="29" t="s">
        <v>361</v>
      </c>
      <c r="Q105" s="29" t="s">
        <v>361</v>
      </c>
      <c r="R105" s="249" t="s">
        <v>888</v>
      </c>
      <c r="S105" s="220"/>
      <c r="T105" s="18" t="e">
        <f>(#REF!-#REF!)/1.2</f>
        <v>#REF!</v>
      </c>
      <c r="U105" s="51" t="e">
        <f>T105*1.2/#REF!</f>
        <v>#REF!</v>
      </c>
      <c r="V105" s="52">
        <v>158.4</v>
      </c>
      <c r="W105" s="53" t="e">
        <f>V105*#REF!</f>
        <v>#REF!</v>
      </c>
      <c r="X105" s="55" t="e">
        <f>(W105/#REF!)-1</f>
        <v>#REF!</v>
      </c>
      <c r="Y105" s="54" t="e">
        <f>W105-#REF!</f>
        <v>#REF!</v>
      </c>
      <c r="Z105" s="55" t="e">
        <f>1-(#REF!/W105)</f>
        <v>#REF!</v>
      </c>
      <c r="AA105" s="64">
        <v>182.16</v>
      </c>
      <c r="AB105" s="63" t="e">
        <f>AA105*#REF!</f>
        <v>#REF!</v>
      </c>
      <c r="AC105" s="62" t="e">
        <f>(AB105/#REF!)-1</f>
        <v>#REF!</v>
      </c>
      <c r="AD105" s="63" t="e">
        <f>AB105-#REF!</f>
        <v>#REF!</v>
      </c>
      <c r="AE105" s="154" t="e">
        <f>1-(#REF!/AB105)</f>
        <v>#REF!</v>
      </c>
      <c r="AF105" s="157" t="s">
        <v>633</v>
      </c>
      <c r="AG105" s="7" t="s">
        <v>454</v>
      </c>
      <c r="AH105" s="220" t="s">
        <v>122</v>
      </c>
      <c r="AI105" s="220">
        <v>160606</v>
      </c>
      <c r="AJ105" s="163"/>
    </row>
    <row r="106" spans="1:36" ht="99.95" customHeight="1">
      <c r="A106" s="266" t="s">
        <v>981</v>
      </c>
      <c r="C106" s="6" t="s">
        <v>123</v>
      </c>
      <c r="D106" s="7" t="s">
        <v>745</v>
      </c>
      <c r="E106" s="166" t="s">
        <v>361</v>
      </c>
      <c r="F106" s="7" t="s">
        <v>455</v>
      </c>
      <c r="G106" s="7" t="s">
        <v>854</v>
      </c>
      <c r="H106" s="166" t="s">
        <v>753</v>
      </c>
      <c r="I106" s="47" t="s">
        <v>452</v>
      </c>
      <c r="J106" s="13">
        <v>16</v>
      </c>
      <c r="K106" s="220"/>
      <c r="L106" s="220"/>
      <c r="M106" s="167"/>
      <c r="N106" s="47" t="s">
        <v>512</v>
      </c>
      <c r="O106" s="249">
        <v>0.5</v>
      </c>
      <c r="P106" s="29" t="s">
        <v>361</v>
      </c>
      <c r="Q106" s="29" t="s">
        <v>361</v>
      </c>
      <c r="R106" s="249" t="s">
        <v>888</v>
      </c>
      <c r="S106" s="220"/>
      <c r="T106" s="18" t="e">
        <f>(#REF!-#REF!)/1.2</f>
        <v>#REF!</v>
      </c>
      <c r="U106" s="51" t="e">
        <f>T106*1.2/#REF!</f>
        <v>#REF!</v>
      </c>
      <c r="V106" s="52">
        <v>117.48</v>
      </c>
      <c r="W106" s="53" t="e">
        <f>V106*#REF!</f>
        <v>#REF!</v>
      </c>
      <c r="X106" s="55" t="e">
        <f>(W106/#REF!)-1</f>
        <v>#REF!</v>
      </c>
      <c r="Y106" s="54" t="e">
        <f>W106-#REF!</f>
        <v>#REF!</v>
      </c>
      <c r="Z106" s="55" t="e">
        <f>1-(#REF!/W106)</f>
        <v>#REF!</v>
      </c>
      <c r="AA106" s="64">
        <v>135.1</v>
      </c>
      <c r="AB106" s="63" t="e">
        <f>AA106*#REF!</f>
        <v>#REF!</v>
      </c>
      <c r="AC106" s="62" t="e">
        <f>(AB106/#REF!)-1</f>
        <v>#REF!</v>
      </c>
      <c r="AD106" s="63" t="e">
        <f>AB106-#REF!</f>
        <v>#REF!</v>
      </c>
      <c r="AE106" s="154" t="e">
        <f>1-(#REF!/AB106)</f>
        <v>#REF!</v>
      </c>
      <c r="AF106" s="157" t="s">
        <v>634</v>
      </c>
      <c r="AG106" s="7" t="s">
        <v>455</v>
      </c>
      <c r="AH106" s="220" t="s">
        <v>124</v>
      </c>
      <c r="AI106" s="220">
        <v>160601</v>
      </c>
      <c r="AJ106" s="163"/>
    </row>
    <row r="107" spans="1:36" ht="99.95" customHeight="1">
      <c r="A107" s="266" t="s">
        <v>982</v>
      </c>
      <c r="B107" s="203"/>
      <c r="C107" s="6" t="s">
        <v>151</v>
      </c>
      <c r="D107" s="7" t="s">
        <v>745</v>
      </c>
      <c r="E107" s="166" t="s">
        <v>361</v>
      </c>
      <c r="F107" s="7" t="s">
        <v>295</v>
      </c>
      <c r="G107" s="7" t="s">
        <v>855</v>
      </c>
      <c r="H107" s="166" t="s">
        <v>753</v>
      </c>
      <c r="I107" s="47" t="s">
        <v>456</v>
      </c>
      <c r="J107" s="13">
        <v>16</v>
      </c>
      <c r="K107" s="220"/>
      <c r="L107" s="220"/>
      <c r="M107" s="167"/>
      <c r="N107" s="47" t="s">
        <v>512</v>
      </c>
      <c r="O107" s="249">
        <v>0.3</v>
      </c>
      <c r="P107" s="29" t="s">
        <v>361</v>
      </c>
      <c r="Q107" s="29" t="s">
        <v>361</v>
      </c>
      <c r="R107" s="249" t="s">
        <v>888</v>
      </c>
      <c r="S107" s="220"/>
      <c r="T107" s="18" t="e">
        <f>(#REF!-#REF!)/1.2</f>
        <v>#REF!</v>
      </c>
      <c r="U107" s="51" t="e">
        <f>T107*1.2/#REF!</f>
        <v>#REF!</v>
      </c>
      <c r="V107" s="52">
        <v>110.88</v>
      </c>
      <c r="W107" s="53" t="e">
        <f>V107*#REF!</f>
        <v>#REF!</v>
      </c>
      <c r="X107" s="55" t="e">
        <f>(W107/#REF!)-1</f>
        <v>#REF!</v>
      </c>
      <c r="Y107" s="54" t="e">
        <f>W107-#REF!</f>
        <v>#REF!</v>
      </c>
      <c r="Z107" s="55" t="e">
        <f>1-(#REF!/W107)</f>
        <v>#REF!</v>
      </c>
      <c r="AA107" s="64">
        <v>127.51</v>
      </c>
      <c r="AB107" s="63" t="e">
        <f>AA107*#REF!</f>
        <v>#REF!</v>
      </c>
      <c r="AC107" s="62" t="e">
        <f>(AB107/#REF!)-1</f>
        <v>#REF!</v>
      </c>
      <c r="AD107" s="63" t="e">
        <f>AB107-#REF!</f>
        <v>#REF!</v>
      </c>
      <c r="AE107" s="154" t="e">
        <f>1-(#REF!/AB107)</f>
        <v>#REF!</v>
      </c>
      <c r="AF107" s="157" t="s">
        <v>635</v>
      </c>
      <c r="AG107" s="7" t="s">
        <v>295</v>
      </c>
      <c r="AH107" s="220" t="s">
        <v>152</v>
      </c>
      <c r="AI107" s="220">
        <v>160630</v>
      </c>
      <c r="AJ107" s="163"/>
    </row>
    <row r="108" spans="1:36" ht="99.95" customHeight="1">
      <c r="A108" s="266" t="s">
        <v>983</v>
      </c>
      <c r="B108" s="192"/>
      <c r="C108" s="6" t="s">
        <v>153</v>
      </c>
      <c r="D108" s="7" t="s">
        <v>745</v>
      </c>
      <c r="E108" s="166" t="s">
        <v>361</v>
      </c>
      <c r="F108" s="12" t="s">
        <v>296</v>
      </c>
      <c r="G108" s="12" t="s">
        <v>856</v>
      </c>
      <c r="H108" s="21" t="s">
        <v>753</v>
      </c>
      <c r="I108" s="47" t="s">
        <v>452</v>
      </c>
      <c r="J108" s="13">
        <v>16</v>
      </c>
      <c r="K108" s="220"/>
      <c r="L108" s="220"/>
      <c r="M108" s="167"/>
      <c r="N108" s="47" t="s">
        <v>512</v>
      </c>
      <c r="O108" s="249">
        <v>0.5</v>
      </c>
      <c r="P108" s="29" t="s">
        <v>361</v>
      </c>
      <c r="Q108" s="29" t="s">
        <v>361</v>
      </c>
      <c r="R108" s="249" t="s">
        <v>888</v>
      </c>
      <c r="S108" s="220"/>
      <c r="T108" s="18" t="e">
        <f>(#REF!-#REF!)/1.2</f>
        <v>#REF!</v>
      </c>
      <c r="U108" s="51" t="e">
        <f>T108*1.2/#REF!</f>
        <v>#REF!</v>
      </c>
      <c r="V108" s="52">
        <v>118.8</v>
      </c>
      <c r="W108" s="53" t="e">
        <f>V108*#REF!</f>
        <v>#REF!</v>
      </c>
      <c r="X108" s="55" t="e">
        <f>(W108/#REF!)-1</f>
        <v>#REF!</v>
      </c>
      <c r="Y108" s="54" t="e">
        <f>W108-#REF!</f>
        <v>#REF!</v>
      </c>
      <c r="Z108" s="55" t="e">
        <f>1-(#REF!/W108)</f>
        <v>#REF!</v>
      </c>
      <c r="AA108" s="64">
        <v>136.62</v>
      </c>
      <c r="AB108" s="63" t="e">
        <f>AA108*#REF!</f>
        <v>#REF!</v>
      </c>
      <c r="AC108" s="62" t="e">
        <f>(AB108/#REF!)-1</f>
        <v>#REF!</v>
      </c>
      <c r="AD108" s="63" t="e">
        <f>AB108-#REF!</f>
        <v>#REF!</v>
      </c>
      <c r="AE108" s="154" t="e">
        <f>1-(#REF!/AB108)</f>
        <v>#REF!</v>
      </c>
      <c r="AF108" s="157" t="s">
        <v>636</v>
      </c>
      <c r="AG108" s="12" t="s">
        <v>296</v>
      </c>
      <c r="AH108" s="220" t="s">
        <v>154</v>
      </c>
      <c r="AI108" s="220">
        <v>160604</v>
      </c>
      <c r="AJ108" s="163"/>
    </row>
    <row r="109" spans="1:36" ht="99.95" customHeight="1">
      <c r="A109" s="266" t="s">
        <v>984</v>
      </c>
      <c r="B109" s="192"/>
      <c r="C109" s="6" t="s">
        <v>155</v>
      </c>
      <c r="D109" s="7" t="s">
        <v>745</v>
      </c>
      <c r="E109" s="166" t="s">
        <v>361</v>
      </c>
      <c r="F109" s="12" t="s">
        <v>297</v>
      </c>
      <c r="G109" s="12" t="s">
        <v>858</v>
      </c>
      <c r="H109" s="21" t="s">
        <v>753</v>
      </c>
      <c r="I109" s="47" t="s">
        <v>452</v>
      </c>
      <c r="J109" s="13">
        <v>16</v>
      </c>
      <c r="K109" s="220"/>
      <c r="L109" s="220"/>
      <c r="M109" s="167"/>
      <c r="N109" s="47" t="s">
        <v>512</v>
      </c>
      <c r="O109" s="249">
        <v>0.5</v>
      </c>
      <c r="P109" s="29" t="s">
        <v>361</v>
      </c>
      <c r="Q109" s="29" t="s">
        <v>361</v>
      </c>
      <c r="R109" s="249" t="s">
        <v>888</v>
      </c>
      <c r="S109" s="220"/>
      <c r="T109" s="18" t="e">
        <f>(#REF!-#REF!)/1.2</f>
        <v>#REF!</v>
      </c>
      <c r="U109" s="51" t="e">
        <f>T109*1.2/#REF!</f>
        <v>#REF!</v>
      </c>
      <c r="V109" s="52"/>
      <c r="W109" s="53" t="e">
        <f>V109*#REF!</f>
        <v>#REF!</v>
      </c>
      <c r="X109" s="55" t="e">
        <f>(W109/#REF!)-1</f>
        <v>#REF!</v>
      </c>
      <c r="Y109" s="54" t="e">
        <f>W109-#REF!</f>
        <v>#REF!</v>
      </c>
      <c r="Z109" s="55" t="e">
        <f>1-(#REF!/W109)</f>
        <v>#REF!</v>
      </c>
      <c r="AA109" s="64"/>
      <c r="AB109" s="63" t="e">
        <f>AA109*#REF!</f>
        <v>#REF!</v>
      </c>
      <c r="AC109" s="62" t="e">
        <f>(AB109/#REF!)-1</f>
        <v>#REF!</v>
      </c>
      <c r="AD109" s="63" t="e">
        <f>AB109-#REF!</f>
        <v>#REF!</v>
      </c>
      <c r="AE109" s="154" t="e">
        <f>1-(#REF!/AB109)</f>
        <v>#REF!</v>
      </c>
      <c r="AF109" s="157" t="s">
        <v>636</v>
      </c>
      <c r="AG109" s="12" t="s">
        <v>297</v>
      </c>
      <c r="AH109" s="220" t="s">
        <v>156</v>
      </c>
      <c r="AI109" s="220"/>
      <c r="AJ109" s="163"/>
    </row>
    <row r="110" spans="1:36" ht="99.95" customHeight="1">
      <c r="A110" s="266" t="s">
        <v>985</v>
      </c>
      <c r="B110" s="192"/>
      <c r="C110" s="6" t="s">
        <v>157</v>
      </c>
      <c r="D110" s="7" t="s">
        <v>745</v>
      </c>
      <c r="E110" s="166" t="s">
        <v>361</v>
      </c>
      <c r="F110" s="7" t="s">
        <v>298</v>
      </c>
      <c r="G110" s="7" t="s">
        <v>857</v>
      </c>
      <c r="H110" s="166" t="s">
        <v>753</v>
      </c>
      <c r="I110" s="47" t="s">
        <v>452</v>
      </c>
      <c r="J110" s="13">
        <v>16</v>
      </c>
      <c r="K110" s="220"/>
      <c r="L110" s="220"/>
      <c r="M110" s="167"/>
      <c r="N110" s="47" t="s">
        <v>512</v>
      </c>
      <c r="O110" s="249">
        <v>0.46</v>
      </c>
      <c r="P110" s="29" t="s">
        <v>361</v>
      </c>
      <c r="Q110" s="29" t="s">
        <v>361</v>
      </c>
      <c r="R110" s="249" t="s">
        <v>888</v>
      </c>
      <c r="S110" s="220"/>
      <c r="T110" s="18" t="e">
        <f>(#REF!-#REF!)/1.2</f>
        <v>#REF!</v>
      </c>
      <c r="U110" s="51" t="e">
        <f>T110*1.2/#REF!</f>
        <v>#REF!</v>
      </c>
      <c r="V110" s="52"/>
      <c r="W110" s="53" t="e">
        <f>V110*#REF!</f>
        <v>#REF!</v>
      </c>
      <c r="X110" s="55" t="e">
        <f>(W110/#REF!)-1</f>
        <v>#REF!</v>
      </c>
      <c r="Y110" s="54" t="e">
        <f>W110-#REF!</f>
        <v>#REF!</v>
      </c>
      <c r="Z110" s="55" t="e">
        <f>1-(#REF!/W110)</f>
        <v>#REF!</v>
      </c>
      <c r="AA110" s="64"/>
      <c r="AB110" s="63" t="e">
        <f>AA110*#REF!</f>
        <v>#REF!</v>
      </c>
      <c r="AC110" s="62" t="e">
        <f>(AB110/#REF!)-1</f>
        <v>#REF!</v>
      </c>
      <c r="AD110" s="63" t="e">
        <f>AB110-#REF!</f>
        <v>#REF!</v>
      </c>
      <c r="AE110" s="154" t="e">
        <f>1-(#REF!/AB110)</f>
        <v>#REF!</v>
      </c>
      <c r="AF110" s="157" t="s">
        <v>637</v>
      </c>
      <c r="AG110" s="7" t="s">
        <v>298</v>
      </c>
      <c r="AH110" s="220" t="s">
        <v>158</v>
      </c>
      <c r="AI110" s="220"/>
      <c r="AJ110" s="163"/>
    </row>
    <row r="111" spans="1:36" ht="99.95" customHeight="1">
      <c r="A111" s="266" t="s">
        <v>1024</v>
      </c>
      <c r="B111" s="192" t="s">
        <v>902</v>
      </c>
      <c r="C111" s="6" t="s">
        <v>125</v>
      </c>
      <c r="D111" s="7" t="s">
        <v>745</v>
      </c>
      <c r="E111" s="166" t="s">
        <v>361</v>
      </c>
      <c r="F111" s="7" t="s">
        <v>293</v>
      </c>
      <c r="G111" s="214" t="s">
        <v>899</v>
      </c>
      <c r="H111" s="166" t="s">
        <v>753</v>
      </c>
      <c r="I111" s="13" t="s">
        <v>859</v>
      </c>
      <c r="J111" s="13">
        <v>16</v>
      </c>
      <c r="K111" s="220"/>
      <c r="L111" s="220"/>
      <c r="M111" s="167"/>
      <c r="N111" s="218" t="s">
        <v>860</v>
      </c>
      <c r="O111" s="249">
        <v>0.25</v>
      </c>
      <c r="P111" s="29" t="s">
        <v>361</v>
      </c>
      <c r="Q111" s="29" t="s">
        <v>361</v>
      </c>
      <c r="R111" s="249"/>
      <c r="S111" s="220"/>
      <c r="T111" s="18" t="e">
        <f>(#REF!-#REF!)/1.2</f>
        <v>#REF!</v>
      </c>
      <c r="U111" s="51" t="e">
        <f>T111*1.2/#REF!</f>
        <v>#REF!</v>
      </c>
      <c r="V111" s="52">
        <v>75.239999999999995</v>
      </c>
      <c r="W111" s="53" t="e">
        <f>V111*#REF!</f>
        <v>#REF!</v>
      </c>
      <c r="X111" s="55" t="e">
        <f>(W111/#REF!)-1</f>
        <v>#REF!</v>
      </c>
      <c r="Y111" s="54" t="e">
        <f>W111-#REF!</f>
        <v>#REF!</v>
      </c>
      <c r="Z111" s="55" t="e">
        <f>1-(#REF!/W111)</f>
        <v>#REF!</v>
      </c>
      <c r="AA111" s="64">
        <v>114.63</v>
      </c>
      <c r="AB111" s="63" t="e">
        <f>AA111*#REF!</f>
        <v>#REF!</v>
      </c>
      <c r="AC111" s="62" t="e">
        <f>(AB111/#REF!)-1</f>
        <v>#REF!</v>
      </c>
      <c r="AD111" s="63" t="e">
        <f>AB111-#REF!</f>
        <v>#REF!</v>
      </c>
      <c r="AE111" s="154" t="e">
        <f>1-(#REF!/AB111)</f>
        <v>#REF!</v>
      </c>
      <c r="AF111" s="157" t="s">
        <v>632</v>
      </c>
      <c r="AG111" s="7" t="s">
        <v>293</v>
      </c>
      <c r="AH111" s="220" t="s">
        <v>126</v>
      </c>
      <c r="AI111" s="220" t="s">
        <v>724</v>
      </c>
      <c r="AJ111" s="163"/>
    </row>
    <row r="112" spans="1:36" ht="99.95" customHeight="1">
      <c r="A112" s="266" t="s">
        <v>1025</v>
      </c>
      <c r="B112" s="192" t="s">
        <v>903</v>
      </c>
      <c r="C112" s="6" t="s">
        <v>127</v>
      </c>
      <c r="D112" s="7" t="s">
        <v>745</v>
      </c>
      <c r="E112" s="166" t="s">
        <v>361</v>
      </c>
      <c r="F112" s="11" t="s">
        <v>294</v>
      </c>
      <c r="G112" s="215" t="s">
        <v>898</v>
      </c>
      <c r="H112" s="10" t="s">
        <v>753</v>
      </c>
      <c r="I112" s="13" t="s">
        <v>859</v>
      </c>
      <c r="J112" s="13">
        <v>16</v>
      </c>
      <c r="K112" s="220"/>
      <c r="L112" s="220"/>
      <c r="M112" s="167"/>
      <c r="N112" s="218" t="s">
        <v>860</v>
      </c>
      <c r="O112" s="245">
        <v>0.25</v>
      </c>
      <c r="P112" s="29" t="s">
        <v>361</v>
      </c>
      <c r="Q112" s="30" t="s">
        <v>361</v>
      </c>
      <c r="R112" s="245"/>
      <c r="S112" s="220"/>
      <c r="T112" s="18" t="e">
        <f>(#REF!-#REF!)/1.2</f>
        <v>#REF!</v>
      </c>
      <c r="U112" s="51" t="e">
        <f>T112*1.2/#REF!</f>
        <v>#REF!</v>
      </c>
      <c r="V112" s="52">
        <v>81.84</v>
      </c>
      <c r="W112" s="53" t="e">
        <f>V112*#REF!</f>
        <v>#REF!</v>
      </c>
      <c r="X112" s="55" t="e">
        <f>(W112/#REF!)-1</f>
        <v>#REF!</v>
      </c>
      <c r="Y112" s="54" t="e">
        <f>W112-#REF!</f>
        <v>#REF!</v>
      </c>
      <c r="Z112" s="55" t="e">
        <f>1-(#REF!/W112)</f>
        <v>#REF!</v>
      </c>
      <c r="AA112" s="64">
        <v>138.88</v>
      </c>
      <c r="AB112" s="63" t="e">
        <f>AA112*#REF!</f>
        <v>#REF!</v>
      </c>
      <c r="AC112" s="62" t="e">
        <f>(AB112/#REF!)-1</f>
        <v>#REF!</v>
      </c>
      <c r="AD112" s="63" t="e">
        <f>AB112-#REF!</f>
        <v>#REF!</v>
      </c>
      <c r="AE112" s="154" t="e">
        <f>1-(#REF!/AB112)</f>
        <v>#REF!</v>
      </c>
      <c r="AF112" s="157" t="s">
        <v>632</v>
      </c>
      <c r="AG112" s="11" t="s">
        <v>294</v>
      </c>
      <c r="AH112" s="220" t="s">
        <v>128</v>
      </c>
      <c r="AI112" s="220" t="s">
        <v>725</v>
      </c>
      <c r="AJ112" s="163"/>
    </row>
    <row r="113" spans="1:36" ht="99.95" customHeight="1">
      <c r="A113" s="266" t="s">
        <v>986</v>
      </c>
      <c r="B113" s="189"/>
      <c r="C113" s="6" t="s">
        <v>129</v>
      </c>
      <c r="D113" s="7" t="s">
        <v>745</v>
      </c>
      <c r="E113" s="166" t="s">
        <v>361</v>
      </c>
      <c r="F113" s="11" t="s">
        <v>513</v>
      </c>
      <c r="G113" s="215" t="s">
        <v>900</v>
      </c>
      <c r="H113" s="10" t="s">
        <v>753</v>
      </c>
      <c r="I113" s="10" t="s">
        <v>779</v>
      </c>
      <c r="J113" s="13">
        <v>16</v>
      </c>
      <c r="K113" s="220"/>
      <c r="L113" s="220"/>
      <c r="M113" s="167"/>
      <c r="N113" s="47" t="s">
        <v>241</v>
      </c>
      <c r="O113" s="245">
        <v>0.08</v>
      </c>
      <c r="P113" s="30" t="s">
        <v>361</v>
      </c>
      <c r="Q113" s="30" t="s">
        <v>361</v>
      </c>
      <c r="R113" s="245" t="s">
        <v>888</v>
      </c>
      <c r="S113" s="220"/>
      <c r="T113" s="18" t="e">
        <f>(#REF!-#REF!)/1.2</f>
        <v>#REF!</v>
      </c>
      <c r="U113" s="51" t="e">
        <f>T113*1.2/#REF!</f>
        <v>#REF!</v>
      </c>
      <c r="V113" s="52">
        <v>42.24</v>
      </c>
      <c r="W113" s="53" t="e">
        <f>V113*#REF!</f>
        <v>#REF!</v>
      </c>
      <c r="X113" s="55" t="e">
        <f>(W113/#REF!)-1</f>
        <v>#REF!</v>
      </c>
      <c r="Y113" s="54" t="e">
        <f>W113-#REF!</f>
        <v>#REF!</v>
      </c>
      <c r="Z113" s="55" t="e">
        <f>1-(#REF!/W113)</f>
        <v>#REF!</v>
      </c>
      <c r="AA113" s="64">
        <v>48.58</v>
      </c>
      <c r="AB113" s="63" t="e">
        <f>AA113*#REF!</f>
        <v>#REF!</v>
      </c>
      <c r="AC113" s="62" t="e">
        <f>(AB113/#REF!)-1</f>
        <v>#REF!</v>
      </c>
      <c r="AD113" s="63" t="e">
        <f>AB113-#REF!</f>
        <v>#REF!</v>
      </c>
      <c r="AE113" s="154" t="e">
        <f>1-(#REF!/AB113)</f>
        <v>#REF!</v>
      </c>
      <c r="AF113" s="157" t="s">
        <v>638</v>
      </c>
      <c r="AG113" s="11" t="s">
        <v>513</v>
      </c>
      <c r="AH113" s="220" t="s">
        <v>130</v>
      </c>
      <c r="AI113" s="220" t="s">
        <v>726</v>
      </c>
      <c r="AJ113" s="163"/>
    </row>
    <row r="114" spans="1:36" ht="30" customHeight="1">
      <c r="A114" s="266" t="s">
        <v>987</v>
      </c>
      <c r="B114" s="21"/>
      <c r="C114" s="6" t="s">
        <v>131</v>
      </c>
      <c r="D114" s="7" t="s">
        <v>745</v>
      </c>
      <c r="E114" s="166" t="s">
        <v>361</v>
      </c>
      <c r="F114" s="7" t="s">
        <v>473</v>
      </c>
      <c r="G114" s="7" t="s">
        <v>861</v>
      </c>
      <c r="H114" s="166" t="s">
        <v>753</v>
      </c>
      <c r="I114" s="47" t="s">
        <v>780</v>
      </c>
      <c r="J114" s="13">
        <v>16</v>
      </c>
      <c r="K114" s="220"/>
      <c r="L114" s="220"/>
      <c r="M114" s="167"/>
      <c r="N114" s="47" t="s">
        <v>241</v>
      </c>
      <c r="O114" s="245">
        <v>0.15</v>
      </c>
      <c r="P114" s="29" t="s">
        <v>361</v>
      </c>
      <c r="Q114" s="29" t="s">
        <v>361</v>
      </c>
      <c r="R114" s="249"/>
      <c r="S114" s="220"/>
      <c r="T114" s="18" t="e">
        <f>(#REF!-#REF!)/1.2</f>
        <v>#REF!</v>
      </c>
      <c r="U114" s="51" t="e">
        <f>T114*1.2/#REF!</f>
        <v>#REF!</v>
      </c>
      <c r="V114" s="52"/>
      <c r="W114" s="53" t="e">
        <f>V114*#REF!</f>
        <v>#REF!</v>
      </c>
      <c r="X114" s="55" t="e">
        <f>(W114/#REF!)-1</f>
        <v>#REF!</v>
      </c>
      <c r="Y114" s="54" t="e">
        <f>W114-#REF!</f>
        <v>#REF!</v>
      </c>
      <c r="Z114" s="55" t="e">
        <f>1-(#REF!/W114)</f>
        <v>#REF!</v>
      </c>
      <c r="AA114" s="64"/>
      <c r="AB114" s="63" t="e">
        <f>AA114*#REF!</f>
        <v>#REF!</v>
      </c>
      <c r="AC114" s="62" t="e">
        <f>(AB114/#REF!)-1</f>
        <v>#REF!</v>
      </c>
      <c r="AD114" s="63" t="e">
        <f>AB114-#REF!</f>
        <v>#REF!</v>
      </c>
      <c r="AE114" s="154" t="e">
        <f>1-(#REF!/AB114)</f>
        <v>#REF!</v>
      </c>
      <c r="AF114" s="157" t="s">
        <v>639</v>
      </c>
      <c r="AG114" s="7" t="s">
        <v>473</v>
      </c>
      <c r="AH114" s="220" t="s">
        <v>847</v>
      </c>
      <c r="AI114" s="220"/>
      <c r="AJ114" s="163"/>
    </row>
    <row r="115" spans="1:36" ht="30" customHeight="1">
      <c r="A115" s="266" t="s">
        <v>988</v>
      </c>
      <c r="B115" s="194"/>
      <c r="C115" s="6" t="s">
        <v>132</v>
      </c>
      <c r="D115" s="7" t="s">
        <v>745</v>
      </c>
      <c r="E115" s="166" t="s">
        <v>361</v>
      </c>
      <c r="F115" s="7" t="s">
        <v>474</v>
      </c>
      <c r="G115" s="7" t="s">
        <v>861</v>
      </c>
      <c r="H115" s="166" t="s">
        <v>753</v>
      </c>
      <c r="I115" s="47" t="s">
        <v>777</v>
      </c>
      <c r="J115" s="13">
        <v>16</v>
      </c>
      <c r="K115" s="220"/>
      <c r="L115" s="220"/>
      <c r="M115" s="167"/>
      <c r="N115" s="47" t="s">
        <v>241</v>
      </c>
      <c r="O115" s="245">
        <v>0.3</v>
      </c>
      <c r="P115" s="29" t="s">
        <v>361</v>
      </c>
      <c r="Q115" s="29" t="s">
        <v>361</v>
      </c>
      <c r="R115" s="249"/>
      <c r="S115" s="220"/>
      <c r="T115" s="18" t="e">
        <f>(#REF!-#REF!)/1.2</f>
        <v>#REF!</v>
      </c>
      <c r="U115" s="51" t="e">
        <f>T115*1.2/#REF!</f>
        <v>#REF!</v>
      </c>
      <c r="V115" s="52">
        <v>10.56</v>
      </c>
      <c r="W115" s="53" t="e">
        <f>V115*#REF!</f>
        <v>#REF!</v>
      </c>
      <c r="X115" s="55" t="e">
        <f>(W115/#REF!)-1</f>
        <v>#REF!</v>
      </c>
      <c r="Y115" s="54" t="e">
        <f>W115-#REF!</f>
        <v>#REF!</v>
      </c>
      <c r="Z115" s="55" t="e">
        <f>1-(#REF!/W115)</f>
        <v>#REF!</v>
      </c>
      <c r="AA115" s="64">
        <v>12.67</v>
      </c>
      <c r="AB115" s="63" t="e">
        <f>AA115*#REF!</f>
        <v>#REF!</v>
      </c>
      <c r="AC115" s="62" t="e">
        <f>(AB115/#REF!)-1</f>
        <v>#REF!</v>
      </c>
      <c r="AD115" s="63" t="e">
        <f>AB115-#REF!</f>
        <v>#REF!</v>
      </c>
      <c r="AE115" s="154" t="e">
        <f>1-(#REF!/AB115)</f>
        <v>#REF!</v>
      </c>
      <c r="AF115" s="157" t="s">
        <v>640</v>
      </c>
      <c r="AG115" s="7" t="s">
        <v>474</v>
      </c>
      <c r="AH115" s="220" t="s">
        <v>848</v>
      </c>
      <c r="AI115" s="220">
        <v>160642</v>
      </c>
      <c r="AJ115" s="163"/>
    </row>
    <row r="116" spans="1:36" ht="30" customHeight="1">
      <c r="A116" s="266" t="s">
        <v>989</v>
      </c>
      <c r="B116" s="194"/>
      <c r="C116" s="6" t="s">
        <v>133</v>
      </c>
      <c r="D116" s="7" t="s">
        <v>745</v>
      </c>
      <c r="E116" s="166" t="s">
        <v>361</v>
      </c>
      <c r="F116" s="7" t="s">
        <v>475</v>
      </c>
      <c r="G116" s="7" t="s">
        <v>861</v>
      </c>
      <c r="H116" s="166" t="s">
        <v>753</v>
      </c>
      <c r="I116" s="47" t="s">
        <v>781</v>
      </c>
      <c r="J116" s="13">
        <v>16</v>
      </c>
      <c r="K116" s="220"/>
      <c r="L116" s="220"/>
      <c r="M116" s="167"/>
      <c r="N116" s="47" t="s">
        <v>241</v>
      </c>
      <c r="O116" s="249">
        <v>0.72</v>
      </c>
      <c r="P116" s="29" t="s">
        <v>361</v>
      </c>
      <c r="Q116" s="29" t="s">
        <v>361</v>
      </c>
      <c r="R116" s="249"/>
      <c r="S116" s="220"/>
      <c r="T116" s="18" t="e">
        <f>(#REF!-#REF!)/1.2</f>
        <v>#REF!</v>
      </c>
      <c r="U116" s="51" t="e">
        <f>T116*1.2/#REF!</f>
        <v>#REF!</v>
      </c>
      <c r="V116" s="52"/>
      <c r="W116" s="53" t="e">
        <f>V116*#REF!</f>
        <v>#REF!</v>
      </c>
      <c r="X116" s="55" t="e">
        <f>(W116/#REF!)-1</f>
        <v>#REF!</v>
      </c>
      <c r="Y116" s="54" t="e">
        <f>W116-#REF!</f>
        <v>#REF!</v>
      </c>
      <c r="Z116" s="55" t="e">
        <f>1-(#REF!/W116)</f>
        <v>#REF!</v>
      </c>
      <c r="AA116" s="64"/>
      <c r="AB116" s="63" t="e">
        <f>AA116*#REF!</f>
        <v>#REF!</v>
      </c>
      <c r="AC116" s="62" t="e">
        <f>(AB116/#REF!)-1</f>
        <v>#REF!</v>
      </c>
      <c r="AD116" s="63" t="e">
        <f>AB116-#REF!</f>
        <v>#REF!</v>
      </c>
      <c r="AE116" s="154" t="e">
        <f>1-(#REF!/AB116)</f>
        <v>#REF!</v>
      </c>
      <c r="AF116" s="157" t="s">
        <v>641</v>
      </c>
      <c r="AG116" s="7" t="s">
        <v>475</v>
      </c>
      <c r="AH116" s="220" t="s">
        <v>849</v>
      </c>
      <c r="AI116" s="220"/>
      <c r="AJ116" s="163"/>
    </row>
    <row r="117" spans="1:36" ht="30" customHeight="1">
      <c r="A117" s="266" t="s">
        <v>990</v>
      </c>
      <c r="B117" s="204"/>
      <c r="C117" s="6" t="s">
        <v>134</v>
      </c>
      <c r="D117" s="7" t="s">
        <v>745</v>
      </c>
      <c r="E117" s="166" t="s">
        <v>361</v>
      </c>
      <c r="F117" s="7" t="s">
        <v>476</v>
      </c>
      <c r="G117" s="7" t="s">
        <v>861</v>
      </c>
      <c r="H117" s="166" t="s">
        <v>753</v>
      </c>
      <c r="I117" s="47" t="s">
        <v>782</v>
      </c>
      <c r="J117" s="13">
        <v>16</v>
      </c>
      <c r="K117" s="220"/>
      <c r="L117" s="220"/>
      <c r="M117" s="167"/>
      <c r="N117" s="47" t="s">
        <v>241</v>
      </c>
      <c r="O117" s="249">
        <v>1.2</v>
      </c>
      <c r="P117" s="29" t="s">
        <v>361</v>
      </c>
      <c r="Q117" s="29" t="s">
        <v>361</v>
      </c>
      <c r="R117" s="249"/>
      <c r="S117" s="220"/>
      <c r="T117" s="18" t="e">
        <f>(#REF!-#REF!)/1.2</f>
        <v>#REF!</v>
      </c>
      <c r="U117" s="51" t="e">
        <f>T117*1.2/#REF!</f>
        <v>#REF!</v>
      </c>
      <c r="V117" s="52"/>
      <c r="W117" s="53" t="e">
        <f>V117*#REF!</f>
        <v>#REF!</v>
      </c>
      <c r="X117" s="55" t="e">
        <f>(W117/#REF!)-1</f>
        <v>#REF!</v>
      </c>
      <c r="Y117" s="54" t="e">
        <f>W117-#REF!</f>
        <v>#REF!</v>
      </c>
      <c r="Z117" s="55" t="e">
        <f>1-(#REF!/W117)</f>
        <v>#REF!</v>
      </c>
      <c r="AA117" s="64"/>
      <c r="AB117" s="63" t="e">
        <f>AA117*#REF!</f>
        <v>#REF!</v>
      </c>
      <c r="AC117" s="62" t="e">
        <f>(AB117/#REF!)-1</f>
        <v>#REF!</v>
      </c>
      <c r="AD117" s="63" t="e">
        <f>AB117-#REF!</f>
        <v>#REF!</v>
      </c>
      <c r="AE117" s="154" t="e">
        <f>1-(#REF!/AB117)</f>
        <v>#REF!</v>
      </c>
      <c r="AF117" s="157" t="s">
        <v>642</v>
      </c>
      <c r="AG117" s="7" t="s">
        <v>476</v>
      </c>
      <c r="AH117" s="220" t="s">
        <v>850</v>
      </c>
      <c r="AI117" s="220"/>
      <c r="AJ117" s="163"/>
    </row>
    <row r="118" spans="1:36" ht="69.95" customHeight="1">
      <c r="A118" s="266" t="s">
        <v>991</v>
      </c>
      <c r="B118" s="192"/>
      <c r="C118" s="47" t="s">
        <v>135</v>
      </c>
      <c r="D118" s="7" t="s">
        <v>745</v>
      </c>
      <c r="E118" s="166" t="s">
        <v>361</v>
      </c>
      <c r="F118" s="7" t="s">
        <v>723</v>
      </c>
      <c r="G118" s="7" t="s">
        <v>862</v>
      </c>
      <c r="H118" s="166" t="s">
        <v>753</v>
      </c>
      <c r="I118" s="47" t="s">
        <v>783</v>
      </c>
      <c r="J118" s="13">
        <v>16</v>
      </c>
      <c r="K118" s="220"/>
      <c r="L118" s="220"/>
      <c r="M118" s="167"/>
      <c r="N118" s="47" t="s">
        <v>241</v>
      </c>
      <c r="O118" s="263">
        <v>6.0000000000000001E-3</v>
      </c>
      <c r="P118" s="29" t="s">
        <v>361</v>
      </c>
      <c r="Q118" s="29" t="s">
        <v>361</v>
      </c>
      <c r="R118" s="249"/>
      <c r="S118" s="220"/>
      <c r="T118" s="18" t="e">
        <f>(#REF!-#REF!)/1.2</f>
        <v>#REF!</v>
      </c>
      <c r="U118" s="51" t="e">
        <f>T118*1.2/#REF!</f>
        <v>#REF!</v>
      </c>
      <c r="V118" s="52">
        <v>6.6</v>
      </c>
      <c r="W118" s="53" t="e">
        <f>V118*#REF!</f>
        <v>#REF!</v>
      </c>
      <c r="X118" s="55" t="e">
        <f>(W118/#REF!)-1</f>
        <v>#REF!</v>
      </c>
      <c r="Y118" s="54" t="e">
        <f>W118-#REF!</f>
        <v>#REF!</v>
      </c>
      <c r="Z118" s="55" t="e">
        <f>1-(#REF!/W118)</f>
        <v>#REF!</v>
      </c>
      <c r="AA118" s="64">
        <v>6.6</v>
      </c>
      <c r="AB118" s="63" t="e">
        <f>AA118*#REF!</f>
        <v>#REF!</v>
      </c>
      <c r="AC118" s="62" t="e">
        <f>(AB118/#REF!)-1</f>
        <v>#REF!</v>
      </c>
      <c r="AD118" s="63" t="e">
        <f>AB118-#REF!</f>
        <v>#REF!</v>
      </c>
      <c r="AE118" s="154" t="e">
        <f>1-(#REF!/AB118)</f>
        <v>#REF!</v>
      </c>
      <c r="AF118" s="157" t="s">
        <v>643</v>
      </c>
      <c r="AG118" s="7" t="s">
        <v>472</v>
      </c>
      <c r="AH118" s="220" t="s">
        <v>136</v>
      </c>
      <c r="AI118" s="220">
        <v>160653</v>
      </c>
      <c r="AJ118" s="163"/>
    </row>
    <row r="119" spans="1:36" ht="69.95" customHeight="1">
      <c r="A119" s="266" t="s">
        <v>992</v>
      </c>
      <c r="B119" s="205"/>
      <c r="C119" s="13" t="s">
        <v>137</v>
      </c>
      <c r="D119" s="14" t="s">
        <v>745</v>
      </c>
      <c r="E119" s="13" t="s">
        <v>361</v>
      </c>
      <c r="F119" s="14" t="s">
        <v>464</v>
      </c>
      <c r="G119" s="14" t="s">
        <v>863</v>
      </c>
      <c r="H119" s="13" t="s">
        <v>753</v>
      </c>
      <c r="I119" s="13" t="s">
        <v>784</v>
      </c>
      <c r="J119" s="13">
        <v>16</v>
      </c>
      <c r="K119" s="220"/>
      <c r="L119" s="220"/>
      <c r="M119" s="167"/>
      <c r="N119" s="47" t="s">
        <v>241</v>
      </c>
      <c r="O119" s="263">
        <v>1.9E-2</v>
      </c>
      <c r="P119" s="29" t="s">
        <v>361</v>
      </c>
      <c r="Q119" s="29" t="s">
        <v>361</v>
      </c>
      <c r="R119" s="249" t="s">
        <v>888</v>
      </c>
      <c r="S119" s="220"/>
      <c r="T119" s="18" t="e">
        <f>(#REF!-#REF!)/1.2</f>
        <v>#REF!</v>
      </c>
      <c r="U119" s="51" t="e">
        <f>T119*1.2/#REF!</f>
        <v>#REF!</v>
      </c>
      <c r="V119" s="52">
        <v>17.16</v>
      </c>
      <c r="W119" s="53" t="e">
        <f>V119*#REF!</f>
        <v>#REF!</v>
      </c>
      <c r="X119" s="55" t="e">
        <f>(W119/#REF!)-1</f>
        <v>#REF!</v>
      </c>
      <c r="Y119" s="54" t="e">
        <f>W119-#REF!</f>
        <v>#REF!</v>
      </c>
      <c r="Z119" s="55" t="e">
        <f>1-(#REF!/W119)</f>
        <v>#REF!</v>
      </c>
      <c r="AA119" s="64">
        <v>19.73</v>
      </c>
      <c r="AB119" s="63" t="e">
        <f>AA119*#REF!</f>
        <v>#REF!</v>
      </c>
      <c r="AC119" s="62" t="e">
        <f>(AB119/#REF!)-1</f>
        <v>#REF!</v>
      </c>
      <c r="AD119" s="63" t="e">
        <f>AB119-#REF!</f>
        <v>#REF!</v>
      </c>
      <c r="AE119" s="154" t="e">
        <f>1-(#REF!/AB119)</f>
        <v>#REF!</v>
      </c>
      <c r="AF119" s="157" t="s">
        <v>644</v>
      </c>
      <c r="AG119" s="14" t="s">
        <v>464</v>
      </c>
      <c r="AH119" s="231" t="s">
        <v>138</v>
      </c>
      <c r="AI119" s="231">
        <v>160656</v>
      </c>
      <c r="AJ119" s="163"/>
    </row>
    <row r="120" spans="1:36" ht="69.95" customHeight="1">
      <c r="A120" s="266" t="s">
        <v>993</v>
      </c>
      <c r="B120" s="205"/>
      <c r="C120" s="13" t="s">
        <v>139</v>
      </c>
      <c r="D120" s="14" t="s">
        <v>745</v>
      </c>
      <c r="E120" s="13" t="s">
        <v>361</v>
      </c>
      <c r="F120" s="14" t="s">
        <v>463</v>
      </c>
      <c r="G120" s="14" t="s">
        <v>863</v>
      </c>
      <c r="H120" s="13" t="s">
        <v>753</v>
      </c>
      <c r="I120" s="13" t="s">
        <v>784</v>
      </c>
      <c r="J120" s="13">
        <v>16</v>
      </c>
      <c r="K120" s="220"/>
      <c r="L120" s="220"/>
      <c r="M120" s="167"/>
      <c r="N120" s="10" t="s">
        <v>448</v>
      </c>
      <c r="O120" s="263">
        <v>1.9E-2</v>
      </c>
      <c r="P120" s="29" t="s">
        <v>361</v>
      </c>
      <c r="Q120" s="29" t="s">
        <v>361</v>
      </c>
      <c r="R120" s="249"/>
      <c r="S120" s="220"/>
      <c r="T120" s="18" t="e">
        <f>(#REF!-#REF!)/1.2</f>
        <v>#REF!</v>
      </c>
      <c r="U120" s="51" t="e">
        <f>T120*1.2/#REF!</f>
        <v>#REF!</v>
      </c>
      <c r="V120" s="52">
        <v>23.76</v>
      </c>
      <c r="W120" s="53" t="e">
        <f>V120*#REF!</f>
        <v>#REF!</v>
      </c>
      <c r="X120" s="55" t="e">
        <f>(W120/#REF!)-1</f>
        <v>#REF!</v>
      </c>
      <c r="Y120" s="54" t="e">
        <f>W120-#REF!</f>
        <v>#REF!</v>
      </c>
      <c r="Z120" s="55" t="e">
        <f>1-(#REF!/W120)</f>
        <v>#REF!</v>
      </c>
      <c r="AA120" s="64">
        <v>27.32</v>
      </c>
      <c r="AB120" s="63" t="e">
        <f>AA120*#REF!</f>
        <v>#REF!</v>
      </c>
      <c r="AC120" s="62" t="e">
        <f>(AB120/#REF!)-1</f>
        <v>#REF!</v>
      </c>
      <c r="AD120" s="63" t="e">
        <f>AB120-#REF!</f>
        <v>#REF!</v>
      </c>
      <c r="AE120" s="154" t="e">
        <f>1-(#REF!/AB120)</f>
        <v>#REF!</v>
      </c>
      <c r="AF120" s="157" t="s">
        <v>645</v>
      </c>
      <c r="AG120" s="14" t="s">
        <v>463</v>
      </c>
      <c r="AH120" s="231" t="s">
        <v>142</v>
      </c>
      <c r="AI120" s="231" t="s">
        <v>317</v>
      </c>
      <c r="AJ120" s="163"/>
    </row>
    <row r="121" spans="1:36" ht="69.95" customHeight="1">
      <c r="A121" s="266" t="s">
        <v>994</v>
      </c>
      <c r="B121" s="205"/>
      <c r="C121" s="13" t="s">
        <v>140</v>
      </c>
      <c r="D121" s="14" t="s">
        <v>745</v>
      </c>
      <c r="E121" s="13" t="s">
        <v>361</v>
      </c>
      <c r="F121" s="14" t="s">
        <v>465</v>
      </c>
      <c r="G121" s="14" t="s">
        <v>863</v>
      </c>
      <c r="H121" s="13" t="s">
        <v>753</v>
      </c>
      <c r="I121" s="13" t="s">
        <v>784</v>
      </c>
      <c r="J121" s="13">
        <v>16</v>
      </c>
      <c r="K121" s="220"/>
      <c r="L121" s="220"/>
      <c r="M121" s="167"/>
      <c r="N121" s="10" t="s">
        <v>447</v>
      </c>
      <c r="O121" s="263">
        <v>4.0000000000000001E-3</v>
      </c>
      <c r="P121" s="29" t="s">
        <v>361</v>
      </c>
      <c r="Q121" s="29" t="s">
        <v>361</v>
      </c>
      <c r="R121" s="249"/>
      <c r="S121" s="220"/>
      <c r="T121" s="18" t="e">
        <f>(#REF!-#REF!)/1.2</f>
        <v>#REF!</v>
      </c>
      <c r="U121" s="51" t="e">
        <f>T121*1.2/#REF!</f>
        <v>#REF!</v>
      </c>
      <c r="V121" s="52">
        <v>17.16</v>
      </c>
      <c r="W121" s="53" t="e">
        <f>V121*#REF!</f>
        <v>#REF!</v>
      </c>
      <c r="X121" s="55" t="e">
        <f>(W121/#REF!)-1</f>
        <v>#REF!</v>
      </c>
      <c r="Y121" s="54" t="e">
        <f>W121-#REF!</f>
        <v>#REF!</v>
      </c>
      <c r="Z121" s="55" t="e">
        <f>1-(#REF!/W121)</f>
        <v>#REF!</v>
      </c>
      <c r="AA121" s="64">
        <v>19.73</v>
      </c>
      <c r="AB121" s="63" t="e">
        <f>AA121*#REF!</f>
        <v>#REF!</v>
      </c>
      <c r="AC121" s="62" t="e">
        <f>(AB121/#REF!)-1</f>
        <v>#REF!</v>
      </c>
      <c r="AD121" s="63" t="e">
        <f>AB121-#REF!</f>
        <v>#REF!</v>
      </c>
      <c r="AE121" s="154" t="e">
        <f>1-(#REF!/AB121)</f>
        <v>#REF!</v>
      </c>
      <c r="AF121" s="157" t="s">
        <v>646</v>
      </c>
      <c r="AG121" s="14" t="s">
        <v>465</v>
      </c>
      <c r="AH121" s="231" t="s">
        <v>462</v>
      </c>
      <c r="AI121" s="231" t="s">
        <v>318</v>
      </c>
      <c r="AJ121" s="163"/>
    </row>
    <row r="122" spans="1:36" ht="69.95" customHeight="1">
      <c r="A122" s="266" t="s">
        <v>995</v>
      </c>
      <c r="B122" s="206"/>
      <c r="C122" s="13" t="s">
        <v>141</v>
      </c>
      <c r="D122" s="14" t="s">
        <v>745</v>
      </c>
      <c r="E122" s="13" t="s">
        <v>361</v>
      </c>
      <c r="F122" s="14" t="s">
        <v>514</v>
      </c>
      <c r="G122" s="14" t="s">
        <v>863</v>
      </c>
      <c r="H122" s="13" t="s">
        <v>753</v>
      </c>
      <c r="I122" s="13" t="s">
        <v>784</v>
      </c>
      <c r="J122" s="13">
        <v>16</v>
      </c>
      <c r="K122" s="220"/>
      <c r="L122" s="220"/>
      <c r="M122" s="167"/>
      <c r="N122" s="21" t="s">
        <v>892</v>
      </c>
      <c r="O122" s="263">
        <v>3.0000000000000001E-3</v>
      </c>
      <c r="P122" s="29" t="s">
        <v>361</v>
      </c>
      <c r="Q122" s="29" t="s">
        <v>361</v>
      </c>
      <c r="R122" s="249" t="s">
        <v>889</v>
      </c>
      <c r="S122" s="220"/>
      <c r="T122" s="18" t="e">
        <f>(#REF!-#REF!)/1.2</f>
        <v>#REF!</v>
      </c>
      <c r="U122" s="51" t="e">
        <f>T122*1.2/#REF!</f>
        <v>#REF!</v>
      </c>
      <c r="V122" s="52"/>
      <c r="W122" s="53" t="e">
        <f>V122*#REF!</f>
        <v>#REF!</v>
      </c>
      <c r="X122" s="55" t="e">
        <f>(W122/#REF!)-1</f>
        <v>#REF!</v>
      </c>
      <c r="Y122" s="54" t="e">
        <f>W122-#REF!</f>
        <v>#REF!</v>
      </c>
      <c r="Z122" s="55" t="e">
        <f>1-(#REF!/W122)</f>
        <v>#REF!</v>
      </c>
      <c r="AA122" s="64"/>
      <c r="AB122" s="63" t="e">
        <f>AA122*#REF!</f>
        <v>#REF!</v>
      </c>
      <c r="AC122" s="62" t="e">
        <f>(AB122/#REF!)-1</f>
        <v>#REF!</v>
      </c>
      <c r="AD122" s="63" t="e">
        <f>AB122-#REF!</f>
        <v>#REF!</v>
      </c>
      <c r="AE122" s="154" t="e">
        <f>1-(#REF!/AB122)</f>
        <v>#REF!</v>
      </c>
      <c r="AF122" s="157" t="s">
        <v>647</v>
      </c>
      <c r="AG122" s="14" t="s">
        <v>514</v>
      </c>
      <c r="AH122" s="231" t="s">
        <v>275</v>
      </c>
      <c r="AI122" s="231"/>
      <c r="AJ122" s="163"/>
    </row>
    <row r="123" spans="1:36" ht="69.95" customHeight="1">
      <c r="A123" s="266" t="s">
        <v>996</v>
      </c>
      <c r="B123" s="189"/>
      <c r="C123" s="13" t="s">
        <v>143</v>
      </c>
      <c r="D123" s="14" t="s">
        <v>745</v>
      </c>
      <c r="E123" s="13" t="s">
        <v>361</v>
      </c>
      <c r="F123" s="7" t="s">
        <v>468</v>
      </c>
      <c r="G123" s="7" t="s">
        <v>864</v>
      </c>
      <c r="H123" s="166" t="s">
        <v>753</v>
      </c>
      <c r="I123" s="13" t="s">
        <v>785</v>
      </c>
      <c r="J123" s="13">
        <v>16</v>
      </c>
      <c r="K123" s="220"/>
      <c r="L123" s="220"/>
      <c r="M123" s="167"/>
      <c r="N123" s="47" t="s">
        <v>241</v>
      </c>
      <c r="O123" s="263">
        <v>1.7999999999999999E-2</v>
      </c>
      <c r="P123" s="29" t="s">
        <v>361</v>
      </c>
      <c r="Q123" s="29" t="s">
        <v>361</v>
      </c>
      <c r="R123" s="249" t="s">
        <v>888</v>
      </c>
      <c r="S123" s="220"/>
      <c r="T123" s="18" t="e">
        <f>(#REF!-#REF!)/1.2</f>
        <v>#REF!</v>
      </c>
      <c r="U123" s="51" t="e">
        <f>T123*1.2/#REF!</f>
        <v>#REF!</v>
      </c>
      <c r="V123" s="52">
        <v>17.16</v>
      </c>
      <c r="W123" s="53" t="e">
        <f>V123*#REF!</f>
        <v>#REF!</v>
      </c>
      <c r="X123" s="55" t="e">
        <f>(W123/#REF!)-1</f>
        <v>#REF!</v>
      </c>
      <c r="Y123" s="54" t="e">
        <f>W123-#REF!</f>
        <v>#REF!</v>
      </c>
      <c r="Z123" s="55" t="e">
        <f>1-(#REF!/W123)</f>
        <v>#REF!</v>
      </c>
      <c r="AA123" s="64">
        <v>19.73</v>
      </c>
      <c r="AB123" s="63" t="e">
        <f>AA123*#REF!</f>
        <v>#REF!</v>
      </c>
      <c r="AC123" s="62" t="e">
        <f>(AB123/#REF!)-1</f>
        <v>#REF!</v>
      </c>
      <c r="AD123" s="63" t="e">
        <f>AB123-#REF!</f>
        <v>#REF!</v>
      </c>
      <c r="AE123" s="154" t="e">
        <f>1-(#REF!/AB123)</f>
        <v>#REF!</v>
      </c>
      <c r="AF123" s="157" t="s">
        <v>648</v>
      </c>
      <c r="AG123" s="7" t="s">
        <v>468</v>
      </c>
      <c r="AH123" s="231" t="s">
        <v>145</v>
      </c>
      <c r="AI123" s="231">
        <v>160660</v>
      </c>
      <c r="AJ123" s="163"/>
    </row>
    <row r="124" spans="1:36" ht="69.95" customHeight="1">
      <c r="A124" s="266" t="s">
        <v>997</v>
      </c>
      <c r="B124" s="189"/>
      <c r="C124" s="13" t="s">
        <v>144</v>
      </c>
      <c r="D124" s="14" t="s">
        <v>745</v>
      </c>
      <c r="E124" s="13" t="s">
        <v>361</v>
      </c>
      <c r="F124" s="7" t="s">
        <v>469</v>
      </c>
      <c r="G124" s="7" t="s">
        <v>864</v>
      </c>
      <c r="H124" s="166" t="s">
        <v>753</v>
      </c>
      <c r="I124" s="13" t="s">
        <v>785</v>
      </c>
      <c r="J124" s="13">
        <v>16</v>
      </c>
      <c r="K124" s="220"/>
      <c r="L124" s="220"/>
      <c r="M124" s="167"/>
      <c r="N124" s="10" t="s">
        <v>448</v>
      </c>
      <c r="O124" s="263">
        <v>1.7999999999999999E-2</v>
      </c>
      <c r="P124" s="29" t="s">
        <v>361</v>
      </c>
      <c r="Q124" s="29" t="s">
        <v>361</v>
      </c>
      <c r="R124" s="249"/>
      <c r="S124" s="220"/>
      <c r="T124" s="18" t="e">
        <f>(#REF!-#REF!)/1.2</f>
        <v>#REF!</v>
      </c>
      <c r="U124" s="51" t="e">
        <f>T124*1.2/#REF!</f>
        <v>#REF!</v>
      </c>
      <c r="V124" s="52">
        <v>23.76</v>
      </c>
      <c r="W124" s="53" t="e">
        <f>V124*#REF!</f>
        <v>#REF!</v>
      </c>
      <c r="X124" s="55" t="e">
        <f>(W124/#REF!)-1</f>
        <v>#REF!</v>
      </c>
      <c r="Y124" s="54" t="e">
        <f>W124-#REF!</f>
        <v>#REF!</v>
      </c>
      <c r="Z124" s="55" t="e">
        <f>1-(#REF!/W124)</f>
        <v>#REF!</v>
      </c>
      <c r="AA124" s="64">
        <v>27.32</v>
      </c>
      <c r="AB124" s="63" t="e">
        <f>AA124*#REF!</f>
        <v>#REF!</v>
      </c>
      <c r="AC124" s="62" t="e">
        <f>(AB124/#REF!)-1</f>
        <v>#REF!</v>
      </c>
      <c r="AD124" s="63" t="e">
        <f>AB124-#REF!</f>
        <v>#REF!</v>
      </c>
      <c r="AE124" s="154" t="e">
        <f>1-(#REF!/AB124)</f>
        <v>#REF!</v>
      </c>
      <c r="AF124" s="157" t="s">
        <v>649</v>
      </c>
      <c r="AG124" s="7" t="s">
        <v>469</v>
      </c>
      <c r="AH124" s="231" t="s">
        <v>147</v>
      </c>
      <c r="AI124" s="231" t="s">
        <v>319</v>
      </c>
      <c r="AJ124" s="163"/>
    </row>
    <row r="125" spans="1:36" ht="69.95" customHeight="1">
      <c r="A125" s="266" t="s">
        <v>998</v>
      </c>
      <c r="B125" s="189"/>
      <c r="C125" s="13" t="s">
        <v>146</v>
      </c>
      <c r="D125" s="14" t="s">
        <v>745</v>
      </c>
      <c r="E125" s="13" t="s">
        <v>361</v>
      </c>
      <c r="F125" s="7" t="s">
        <v>470</v>
      </c>
      <c r="G125" s="7" t="s">
        <v>864</v>
      </c>
      <c r="H125" s="166" t="s">
        <v>753</v>
      </c>
      <c r="I125" s="13" t="s">
        <v>785</v>
      </c>
      <c r="J125" s="13">
        <v>16</v>
      </c>
      <c r="K125" s="220"/>
      <c r="L125" s="220"/>
      <c r="M125" s="167"/>
      <c r="N125" s="10" t="s">
        <v>447</v>
      </c>
      <c r="O125" s="264">
        <v>4.0000000000000001E-3</v>
      </c>
      <c r="P125" s="29" t="s">
        <v>361</v>
      </c>
      <c r="Q125" s="42" t="s">
        <v>361</v>
      </c>
      <c r="R125" s="260"/>
      <c r="S125" s="220"/>
      <c r="T125" s="18" t="e">
        <f>(#REF!-#REF!)/1.2</f>
        <v>#REF!</v>
      </c>
      <c r="U125" s="51" t="e">
        <f>T125*1.2/#REF!</f>
        <v>#REF!</v>
      </c>
      <c r="V125" s="52">
        <v>19.8</v>
      </c>
      <c r="W125" s="53" t="e">
        <f>V125*#REF!</f>
        <v>#REF!</v>
      </c>
      <c r="X125" s="55" t="e">
        <f>(W125/#REF!)-1</f>
        <v>#REF!</v>
      </c>
      <c r="Y125" s="54" t="e">
        <f>W125-#REF!</f>
        <v>#REF!</v>
      </c>
      <c r="Z125" s="55" t="e">
        <f>1-(#REF!/W125)</f>
        <v>#REF!</v>
      </c>
      <c r="AA125" s="64">
        <v>22.77</v>
      </c>
      <c r="AB125" s="63" t="e">
        <f>AA125*#REF!</f>
        <v>#REF!</v>
      </c>
      <c r="AC125" s="62" t="e">
        <f>(AB125/#REF!)-1</f>
        <v>#REF!</v>
      </c>
      <c r="AD125" s="63" t="e">
        <f>AB125-#REF!</f>
        <v>#REF!</v>
      </c>
      <c r="AE125" s="154" t="e">
        <f>1-(#REF!/AB125)</f>
        <v>#REF!</v>
      </c>
      <c r="AF125" s="157" t="s">
        <v>650</v>
      </c>
      <c r="AG125" s="7" t="s">
        <v>470</v>
      </c>
      <c r="AH125" s="231" t="s">
        <v>466</v>
      </c>
      <c r="AI125" s="231" t="s">
        <v>320</v>
      </c>
      <c r="AJ125" s="163"/>
    </row>
    <row r="126" spans="1:36" ht="69.95" customHeight="1">
      <c r="A126" s="266" t="s">
        <v>999</v>
      </c>
      <c r="B126" s="189"/>
      <c r="C126" s="13" t="s">
        <v>148</v>
      </c>
      <c r="D126" s="14" t="s">
        <v>745</v>
      </c>
      <c r="E126" s="13" t="s">
        <v>361</v>
      </c>
      <c r="F126" s="7" t="s">
        <v>471</v>
      </c>
      <c r="G126" s="7" t="s">
        <v>864</v>
      </c>
      <c r="H126" s="166" t="s">
        <v>753</v>
      </c>
      <c r="I126" s="13" t="s">
        <v>785</v>
      </c>
      <c r="J126" s="13">
        <v>16</v>
      </c>
      <c r="K126" s="220"/>
      <c r="L126" s="220"/>
      <c r="M126" s="167"/>
      <c r="N126" s="21" t="s">
        <v>892</v>
      </c>
      <c r="O126" s="264">
        <v>7.0000000000000001E-3</v>
      </c>
      <c r="P126" s="29" t="s">
        <v>361</v>
      </c>
      <c r="Q126" s="42" t="s">
        <v>361</v>
      </c>
      <c r="R126" s="260" t="s">
        <v>889</v>
      </c>
      <c r="S126" s="220"/>
      <c r="T126" s="18" t="e">
        <f>(#REF!-#REF!)/1.2</f>
        <v>#REF!</v>
      </c>
      <c r="U126" s="51" t="e">
        <f>T126*1.2/#REF!</f>
        <v>#REF!</v>
      </c>
      <c r="V126" s="52"/>
      <c r="W126" s="53" t="e">
        <f>V126*#REF!</f>
        <v>#REF!</v>
      </c>
      <c r="X126" s="55" t="e">
        <f>(W126/#REF!)-1</f>
        <v>#REF!</v>
      </c>
      <c r="Y126" s="54" t="e">
        <f>W126-#REF!</f>
        <v>#REF!</v>
      </c>
      <c r="Z126" s="55" t="e">
        <f>1-(#REF!/W126)</f>
        <v>#REF!</v>
      </c>
      <c r="AA126" s="64"/>
      <c r="AB126" s="63" t="e">
        <f>AA126*#REF!</f>
        <v>#REF!</v>
      </c>
      <c r="AC126" s="62" t="e">
        <f>(AB126/#REF!)-1</f>
        <v>#REF!</v>
      </c>
      <c r="AD126" s="63" t="e">
        <f>AB126-#REF!</f>
        <v>#REF!</v>
      </c>
      <c r="AE126" s="154" t="e">
        <f>1-(#REF!/AB126)</f>
        <v>#REF!</v>
      </c>
      <c r="AF126" s="157" t="s">
        <v>651</v>
      </c>
      <c r="AG126" s="7" t="s">
        <v>471</v>
      </c>
      <c r="AH126" s="231" t="s">
        <v>467</v>
      </c>
      <c r="AI126" s="231"/>
      <c r="AJ126" s="163"/>
    </row>
    <row r="127" spans="1:36" ht="60" customHeight="1">
      <c r="A127" s="266" t="s">
        <v>1000</v>
      </c>
      <c r="B127" s="207"/>
      <c r="C127" s="13" t="s">
        <v>149</v>
      </c>
      <c r="D127" s="14" t="s">
        <v>745</v>
      </c>
      <c r="E127" s="13" t="s">
        <v>361</v>
      </c>
      <c r="F127" s="7" t="s">
        <v>458</v>
      </c>
      <c r="G127" s="7" t="s">
        <v>865</v>
      </c>
      <c r="H127" s="166" t="s">
        <v>753</v>
      </c>
      <c r="I127" s="47" t="s">
        <v>459</v>
      </c>
      <c r="J127" s="13">
        <v>16</v>
      </c>
      <c r="K127" s="220"/>
      <c r="L127" s="220"/>
      <c r="M127" s="167"/>
      <c r="N127" s="47" t="s">
        <v>512</v>
      </c>
      <c r="O127" s="249">
        <v>0.14000000000000001</v>
      </c>
      <c r="P127" s="29" t="s">
        <v>361</v>
      </c>
      <c r="Q127" s="29" t="s">
        <v>361</v>
      </c>
      <c r="R127" s="249"/>
      <c r="S127" s="220"/>
      <c r="T127" s="18" t="e">
        <f>(#REF!-#REF!)/1.2</f>
        <v>#REF!</v>
      </c>
      <c r="U127" s="51" t="e">
        <f>T127*1.2/#REF!</f>
        <v>#REF!</v>
      </c>
      <c r="V127" s="52">
        <v>26.4</v>
      </c>
      <c r="W127" s="53" t="e">
        <f>V127*#REF!</f>
        <v>#REF!</v>
      </c>
      <c r="X127" s="55" t="e">
        <f>(W127/#REF!)-1</f>
        <v>#REF!</v>
      </c>
      <c r="Y127" s="54" t="e">
        <f>W127-#REF!</f>
        <v>#REF!</v>
      </c>
      <c r="Z127" s="55" t="e">
        <f>1-(#REF!/W127)</f>
        <v>#REF!</v>
      </c>
      <c r="AA127" s="64">
        <v>30.36</v>
      </c>
      <c r="AB127" s="63" t="e">
        <f>AA127*#REF!</f>
        <v>#REF!</v>
      </c>
      <c r="AC127" s="62" t="e">
        <f>(AB127/#REF!)-1</f>
        <v>#REF!</v>
      </c>
      <c r="AD127" s="63" t="e">
        <f>AB127-#REF!</f>
        <v>#REF!</v>
      </c>
      <c r="AE127" s="154" t="e">
        <f>1-(#REF!/AB127)</f>
        <v>#REF!</v>
      </c>
      <c r="AF127" s="157" t="s">
        <v>652</v>
      </c>
      <c r="AG127" s="7" t="s">
        <v>458</v>
      </c>
      <c r="AH127" s="231" t="s">
        <v>457</v>
      </c>
      <c r="AI127" s="234" t="s">
        <v>727</v>
      </c>
      <c r="AJ127" s="163"/>
    </row>
    <row r="128" spans="1:36" ht="50.1" customHeight="1" thickBot="1">
      <c r="A128" s="266" t="s">
        <v>1001</v>
      </c>
      <c r="B128" s="190"/>
      <c r="C128" s="129" t="s">
        <v>150</v>
      </c>
      <c r="D128" s="172" t="s">
        <v>745</v>
      </c>
      <c r="E128" s="129" t="s">
        <v>361</v>
      </c>
      <c r="F128" s="105" t="s">
        <v>461</v>
      </c>
      <c r="G128" s="105" t="s">
        <v>866</v>
      </c>
      <c r="H128" s="106" t="s">
        <v>753</v>
      </c>
      <c r="I128" s="106" t="s">
        <v>519</v>
      </c>
      <c r="J128" s="13">
        <v>16</v>
      </c>
      <c r="K128" s="220"/>
      <c r="L128" s="220"/>
      <c r="M128" s="167"/>
      <c r="N128" s="106" t="s">
        <v>512</v>
      </c>
      <c r="O128" s="250">
        <v>0.1</v>
      </c>
      <c r="P128" s="108"/>
      <c r="Q128" s="108" t="s">
        <v>361</v>
      </c>
      <c r="R128" s="258"/>
      <c r="S128" s="220"/>
      <c r="T128" s="110" t="e">
        <f>(#REF!-#REF!)/1.2</f>
        <v>#REF!</v>
      </c>
      <c r="U128" s="111" t="e">
        <f>T128*1.2/#REF!</f>
        <v>#REF!</v>
      </c>
      <c r="V128" s="112">
        <v>46.2</v>
      </c>
      <c r="W128" s="113" t="e">
        <f>V128*#REF!</f>
        <v>#REF!</v>
      </c>
      <c r="X128" s="114" t="e">
        <f>(W128/#REF!)-1</f>
        <v>#REF!</v>
      </c>
      <c r="Y128" s="115" t="e">
        <f>W128-#REF!</f>
        <v>#REF!</v>
      </c>
      <c r="Z128" s="114" t="e">
        <f>1-(#REF!/W128)</f>
        <v>#REF!</v>
      </c>
      <c r="AA128" s="116">
        <v>53.13</v>
      </c>
      <c r="AB128" s="117" t="e">
        <f>AA128*#REF!</f>
        <v>#REF!</v>
      </c>
      <c r="AC128" s="118" t="e">
        <f>(AB128/#REF!)-1</f>
        <v>#REF!</v>
      </c>
      <c r="AD128" s="117" t="e">
        <f>AB128-#REF!</f>
        <v>#REF!</v>
      </c>
      <c r="AE128" s="155" t="e">
        <f>1-(#REF!/AB128)</f>
        <v>#REF!</v>
      </c>
      <c r="AF128" s="157" t="s">
        <v>653</v>
      </c>
      <c r="AG128" s="105" t="s">
        <v>461</v>
      </c>
      <c r="AH128" s="233" t="s">
        <v>460</v>
      </c>
      <c r="AI128" s="235">
        <v>160666</v>
      </c>
      <c r="AJ128" s="163"/>
    </row>
    <row r="129" spans="1:36" ht="80.099999999999994" customHeight="1">
      <c r="A129" s="266" t="s">
        <v>1002</v>
      </c>
      <c r="B129" s="208"/>
      <c r="C129" s="91" t="s">
        <v>159</v>
      </c>
      <c r="D129" s="90" t="s">
        <v>746</v>
      </c>
      <c r="E129" s="91" t="s">
        <v>361</v>
      </c>
      <c r="F129" s="90" t="s">
        <v>477</v>
      </c>
      <c r="G129" s="90" t="s">
        <v>867</v>
      </c>
      <c r="H129" s="91" t="s">
        <v>753</v>
      </c>
      <c r="I129" s="91" t="s">
        <v>478</v>
      </c>
      <c r="J129" s="13">
        <v>16</v>
      </c>
      <c r="K129" s="220"/>
      <c r="L129" s="220"/>
      <c r="M129" s="167"/>
      <c r="N129" s="91" t="s">
        <v>512</v>
      </c>
      <c r="O129" s="261">
        <v>0.05</v>
      </c>
      <c r="P129" s="93" t="s">
        <v>361</v>
      </c>
      <c r="Q129" s="93" t="s">
        <v>361</v>
      </c>
      <c r="R129" s="259" t="s">
        <v>888</v>
      </c>
      <c r="S129" s="220"/>
      <c r="T129" s="95" t="e">
        <f>(#REF!-#REF!)/1.2</f>
        <v>#REF!</v>
      </c>
      <c r="U129" s="96" t="e">
        <f>T129*1.2/#REF!</f>
        <v>#REF!</v>
      </c>
      <c r="V129" s="97">
        <v>23.76</v>
      </c>
      <c r="W129" s="98" t="e">
        <f>V129*#REF!</f>
        <v>#REF!</v>
      </c>
      <c r="X129" s="99" t="e">
        <f>(W129/#REF!)-1</f>
        <v>#REF!</v>
      </c>
      <c r="Y129" s="100" t="e">
        <f>W129-#REF!</f>
        <v>#REF!</v>
      </c>
      <c r="Z129" s="99" t="e">
        <f>1-(#REF!/W129)</f>
        <v>#REF!</v>
      </c>
      <c r="AA129" s="101">
        <v>27.32</v>
      </c>
      <c r="AB129" s="102" t="e">
        <f>AA129*#REF!</f>
        <v>#REF!</v>
      </c>
      <c r="AC129" s="103" t="e">
        <f>(AB129/#REF!)-1</f>
        <v>#REF!</v>
      </c>
      <c r="AD129" s="102" t="e">
        <f>AB129-#REF!</f>
        <v>#REF!</v>
      </c>
      <c r="AE129" s="153" t="e">
        <f>1-(#REF!/AB129)</f>
        <v>#REF!</v>
      </c>
      <c r="AF129" s="157" t="s">
        <v>654</v>
      </c>
      <c r="AG129" s="90" t="s">
        <v>477</v>
      </c>
      <c r="AH129" s="224" t="s">
        <v>479</v>
      </c>
      <c r="AI129" s="236">
        <v>160618</v>
      </c>
      <c r="AJ129" s="163"/>
    </row>
    <row r="130" spans="1:36" ht="80.099999999999994" customHeight="1">
      <c r="A130" s="266" t="s">
        <v>1003</v>
      </c>
      <c r="B130" s="209"/>
      <c r="C130" s="47" t="s">
        <v>160</v>
      </c>
      <c r="D130" s="7" t="s">
        <v>746</v>
      </c>
      <c r="E130" s="166" t="s">
        <v>361</v>
      </c>
      <c r="F130" s="7" t="s">
        <v>451</v>
      </c>
      <c r="G130" s="7" t="s">
        <v>868</v>
      </c>
      <c r="H130" s="166" t="s">
        <v>753</v>
      </c>
      <c r="I130" s="47" t="s">
        <v>786</v>
      </c>
      <c r="J130" s="13">
        <v>16</v>
      </c>
      <c r="K130" s="220"/>
      <c r="L130" s="220"/>
      <c r="M130" s="167"/>
      <c r="N130" s="47" t="s">
        <v>241</v>
      </c>
      <c r="O130" s="249">
        <v>1.04</v>
      </c>
      <c r="P130" s="29" t="s">
        <v>361</v>
      </c>
      <c r="Q130" s="29" t="s">
        <v>361</v>
      </c>
      <c r="R130" s="249" t="s">
        <v>888</v>
      </c>
      <c r="S130" s="220"/>
      <c r="T130" s="18" t="e">
        <f>(#REF!-#REF!)/1.2</f>
        <v>#REF!</v>
      </c>
      <c r="U130" s="51" t="e">
        <f>T130*1.2/#REF!</f>
        <v>#REF!</v>
      </c>
      <c r="V130" s="52"/>
      <c r="W130" s="53" t="e">
        <f>V130*#REF!</f>
        <v>#REF!</v>
      </c>
      <c r="X130" s="55" t="e">
        <f>(W130/#REF!)-1</f>
        <v>#REF!</v>
      </c>
      <c r="Y130" s="54" t="e">
        <f>W130-#REF!</f>
        <v>#REF!</v>
      </c>
      <c r="Z130" s="55" t="e">
        <f>1-(#REF!/W130)</f>
        <v>#REF!</v>
      </c>
      <c r="AA130" s="64"/>
      <c r="AB130" s="63" t="e">
        <f>AA130*#REF!</f>
        <v>#REF!</v>
      </c>
      <c r="AC130" s="62" t="e">
        <f>(AB130/#REF!)-1</f>
        <v>#REF!</v>
      </c>
      <c r="AD130" s="63" t="e">
        <f>AB130-#REF!</f>
        <v>#REF!</v>
      </c>
      <c r="AE130" s="154" t="e">
        <f>1-(#REF!/AB130)</f>
        <v>#REF!</v>
      </c>
      <c r="AF130" s="157" t="s">
        <v>655</v>
      </c>
      <c r="AG130" s="7" t="s">
        <v>451</v>
      </c>
      <c r="AH130" s="220" t="s">
        <v>161</v>
      </c>
      <c r="AI130" s="237"/>
      <c r="AJ130" s="163"/>
    </row>
    <row r="131" spans="1:36" ht="80.099999999999994" customHeight="1">
      <c r="A131" s="266" t="s">
        <v>1004</v>
      </c>
      <c r="B131" s="192"/>
      <c r="C131" s="13" t="s">
        <v>162</v>
      </c>
      <c r="D131" s="14" t="s">
        <v>746</v>
      </c>
      <c r="E131" s="13" t="s">
        <v>361</v>
      </c>
      <c r="F131" s="14" t="s">
        <v>446</v>
      </c>
      <c r="G131" s="14" t="s">
        <v>869</v>
      </c>
      <c r="H131" s="13" t="s">
        <v>753</v>
      </c>
      <c r="I131" s="47" t="s">
        <v>787</v>
      </c>
      <c r="J131" s="13">
        <v>16</v>
      </c>
      <c r="K131" s="220"/>
      <c r="L131" s="220"/>
      <c r="M131" s="167"/>
      <c r="N131" s="47" t="s">
        <v>241</v>
      </c>
      <c r="O131" s="249">
        <v>0.35</v>
      </c>
      <c r="P131" s="29" t="s">
        <v>361</v>
      </c>
      <c r="Q131" s="29" t="s">
        <v>361</v>
      </c>
      <c r="R131" s="249" t="s">
        <v>888</v>
      </c>
      <c r="S131" s="220"/>
      <c r="T131" s="18" t="e">
        <f>(#REF!-#REF!)/1.2</f>
        <v>#REF!</v>
      </c>
      <c r="U131" s="51" t="e">
        <f>T131*1.2/#REF!</f>
        <v>#REF!</v>
      </c>
      <c r="V131" s="52">
        <v>75.239999999999995</v>
      </c>
      <c r="W131" s="53" t="e">
        <f>V131*#REF!</f>
        <v>#REF!</v>
      </c>
      <c r="X131" s="55" t="e">
        <f>(W131/#REF!)-1</f>
        <v>#REF!</v>
      </c>
      <c r="Y131" s="54" t="e">
        <f>W131-#REF!</f>
        <v>#REF!</v>
      </c>
      <c r="Z131" s="55" t="e">
        <f>1-(#REF!/W131)</f>
        <v>#REF!</v>
      </c>
      <c r="AA131" s="64">
        <v>86.53</v>
      </c>
      <c r="AB131" s="63" t="e">
        <f>AA131*#REF!</f>
        <v>#REF!</v>
      </c>
      <c r="AC131" s="62" t="e">
        <f>(AB131/#REF!)-1</f>
        <v>#REF!</v>
      </c>
      <c r="AD131" s="63" t="e">
        <f>AB131-#REF!</f>
        <v>#REF!</v>
      </c>
      <c r="AE131" s="154" t="e">
        <f>1-(#REF!/AB131)</f>
        <v>#REF!</v>
      </c>
      <c r="AF131" s="157" t="s">
        <v>656</v>
      </c>
      <c r="AG131" s="14" t="s">
        <v>446</v>
      </c>
      <c r="AH131" s="231" t="s">
        <v>163</v>
      </c>
      <c r="AI131" s="231">
        <v>160821</v>
      </c>
      <c r="AJ131" s="163"/>
    </row>
    <row r="132" spans="1:36" ht="90" customHeight="1">
      <c r="A132" s="266" t="s">
        <v>1005</v>
      </c>
      <c r="B132" s="192"/>
      <c r="C132" s="13" t="s">
        <v>164</v>
      </c>
      <c r="D132" s="14" t="s">
        <v>746</v>
      </c>
      <c r="E132" s="13" t="s">
        <v>361</v>
      </c>
      <c r="F132" s="183" t="s">
        <v>874</v>
      </c>
      <c r="G132" s="14" t="s">
        <v>872</v>
      </c>
      <c r="H132" s="13" t="s">
        <v>753</v>
      </c>
      <c r="I132" s="13" t="s">
        <v>788</v>
      </c>
      <c r="J132" s="13">
        <v>16</v>
      </c>
      <c r="K132" s="220"/>
      <c r="L132" s="220"/>
      <c r="M132" s="182"/>
      <c r="N132" s="47" t="s">
        <v>241</v>
      </c>
      <c r="O132" s="245">
        <v>0.08</v>
      </c>
      <c r="P132" s="31" t="s">
        <v>361</v>
      </c>
      <c r="Q132" s="31" t="s">
        <v>361</v>
      </c>
      <c r="R132" s="245" t="s">
        <v>888</v>
      </c>
      <c r="S132" s="220"/>
      <c r="T132" s="18" t="e">
        <f>(#REF!-#REF!)/1.2</f>
        <v>#REF!</v>
      </c>
      <c r="U132" s="51" t="e">
        <f>T132*1.2/#REF!</f>
        <v>#REF!</v>
      </c>
      <c r="V132" s="52">
        <v>35.64</v>
      </c>
      <c r="W132" s="53" t="e">
        <f>V132*#REF!</f>
        <v>#REF!</v>
      </c>
      <c r="X132" s="55" t="e">
        <f>(W132/#REF!)-1</f>
        <v>#REF!</v>
      </c>
      <c r="Y132" s="54" t="e">
        <f>W132-#REF!</f>
        <v>#REF!</v>
      </c>
      <c r="Z132" s="55" t="e">
        <f>1-(#REF!/W132)</f>
        <v>#REF!</v>
      </c>
      <c r="AA132" s="64">
        <v>40.99</v>
      </c>
      <c r="AB132" s="63" t="e">
        <f>AA132*#REF!</f>
        <v>#REF!</v>
      </c>
      <c r="AC132" s="62" t="e">
        <f>(AB132/#REF!)-1</f>
        <v>#REF!</v>
      </c>
      <c r="AD132" s="63" t="e">
        <f>AB132-#REF!</f>
        <v>#REF!</v>
      </c>
      <c r="AE132" s="154" t="e">
        <f>1-(#REF!/AB132)</f>
        <v>#REF!</v>
      </c>
      <c r="AF132" s="157" t="s">
        <v>657</v>
      </c>
      <c r="AG132" s="14" t="s">
        <v>480</v>
      </c>
      <c r="AH132" s="231"/>
      <c r="AI132" s="231" t="s">
        <v>324</v>
      </c>
      <c r="AJ132" s="163"/>
    </row>
    <row r="133" spans="1:36" ht="99.95" customHeight="1">
      <c r="A133" s="266" t="s">
        <v>1006</v>
      </c>
      <c r="B133" s="192"/>
      <c r="C133" s="13" t="s">
        <v>165</v>
      </c>
      <c r="D133" s="14" t="s">
        <v>746</v>
      </c>
      <c r="E133" s="13" t="s">
        <v>361</v>
      </c>
      <c r="F133" s="183" t="s">
        <v>875</v>
      </c>
      <c r="G133" s="14" t="s">
        <v>873</v>
      </c>
      <c r="H133" s="13" t="s">
        <v>753</v>
      </c>
      <c r="I133" s="13" t="s">
        <v>789</v>
      </c>
      <c r="J133" s="13">
        <v>16</v>
      </c>
      <c r="K133" s="220"/>
      <c r="L133" s="220"/>
      <c r="M133" s="182"/>
      <c r="N133" s="47" t="s">
        <v>241</v>
      </c>
      <c r="O133" s="245">
        <v>0.15</v>
      </c>
      <c r="P133" s="31" t="s">
        <v>361</v>
      </c>
      <c r="Q133" s="31" t="s">
        <v>361</v>
      </c>
      <c r="R133" s="245" t="s">
        <v>888</v>
      </c>
      <c r="S133" s="220"/>
      <c r="T133" s="18" t="e">
        <f>(#REF!-#REF!)/1.2</f>
        <v>#REF!</v>
      </c>
      <c r="U133" s="51" t="e">
        <f>T133*1.2/#REF!</f>
        <v>#REF!</v>
      </c>
      <c r="V133" s="52">
        <v>43.56</v>
      </c>
      <c r="W133" s="53" t="e">
        <f>V133*#REF!</f>
        <v>#REF!</v>
      </c>
      <c r="X133" s="55" t="e">
        <f>(W133/#REF!)-1</f>
        <v>#REF!</v>
      </c>
      <c r="Y133" s="54" t="e">
        <f>W133-#REF!</f>
        <v>#REF!</v>
      </c>
      <c r="Z133" s="55" t="e">
        <f>1-(#REF!/W133)</f>
        <v>#REF!</v>
      </c>
      <c r="AA133" s="64">
        <v>50.09</v>
      </c>
      <c r="AB133" s="63" t="e">
        <f>AA133*#REF!</f>
        <v>#REF!</v>
      </c>
      <c r="AC133" s="62" t="e">
        <f>(AB133/#REF!)-1</f>
        <v>#REF!</v>
      </c>
      <c r="AD133" s="63" t="e">
        <f>AB133-#REF!</f>
        <v>#REF!</v>
      </c>
      <c r="AE133" s="154" t="e">
        <f>1-(#REF!/AB133)</f>
        <v>#REF!</v>
      </c>
      <c r="AF133" s="157" t="s">
        <v>658</v>
      </c>
      <c r="AG133" s="14" t="s">
        <v>481</v>
      </c>
      <c r="AH133" s="231"/>
      <c r="AI133" s="231" t="s">
        <v>325</v>
      </c>
      <c r="AJ133" s="163"/>
    </row>
    <row r="134" spans="1:36" s="3" customFormat="1" ht="80.099999999999994" customHeight="1">
      <c r="A134" s="266" t="s">
        <v>1007</v>
      </c>
      <c r="B134" s="210"/>
      <c r="C134" s="13" t="s">
        <v>166</v>
      </c>
      <c r="D134" s="14" t="s">
        <v>746</v>
      </c>
      <c r="E134" s="13" t="s">
        <v>361</v>
      </c>
      <c r="F134" s="11" t="s">
        <v>299</v>
      </c>
      <c r="G134" s="11" t="s">
        <v>870</v>
      </c>
      <c r="H134" s="10" t="s">
        <v>753</v>
      </c>
      <c r="I134" s="10" t="s">
        <v>790</v>
      </c>
      <c r="J134" s="13">
        <v>16</v>
      </c>
      <c r="K134" s="231"/>
      <c r="L134" s="231"/>
      <c r="M134" s="47"/>
      <c r="N134" s="47" t="s">
        <v>241</v>
      </c>
      <c r="O134" s="245">
        <v>0.36</v>
      </c>
      <c r="P134" s="30" t="s">
        <v>361</v>
      </c>
      <c r="Q134" s="30" t="s">
        <v>361</v>
      </c>
      <c r="R134" s="245" t="s">
        <v>888</v>
      </c>
      <c r="S134" s="245"/>
      <c r="T134" s="18" t="e">
        <f>(#REF!-#REF!)/1.2</f>
        <v>#REF!</v>
      </c>
      <c r="U134" s="51" t="e">
        <f>T134*1.2/#REF!</f>
        <v>#REF!</v>
      </c>
      <c r="V134" s="52">
        <v>72.599999999999994</v>
      </c>
      <c r="W134" s="53" t="e">
        <f>V134*#REF!</f>
        <v>#REF!</v>
      </c>
      <c r="X134" s="55" t="e">
        <f>(W134/#REF!)-1</f>
        <v>#REF!</v>
      </c>
      <c r="Y134" s="54" t="e">
        <f>W134-#REF!</f>
        <v>#REF!</v>
      </c>
      <c r="Z134" s="55" t="e">
        <f>1-(#REF!/W134)</f>
        <v>#REF!</v>
      </c>
      <c r="AA134" s="64">
        <v>83.49</v>
      </c>
      <c r="AB134" s="63" t="e">
        <f>AA134*#REF!</f>
        <v>#REF!</v>
      </c>
      <c r="AC134" s="62" t="e">
        <f>(AB134/#REF!)-1</f>
        <v>#REF!</v>
      </c>
      <c r="AD134" s="63" t="e">
        <f>AB134-#REF!</f>
        <v>#REF!</v>
      </c>
      <c r="AE134" s="154" t="e">
        <f>1-(#REF!/AB134)</f>
        <v>#REF!</v>
      </c>
      <c r="AF134" s="160" t="s">
        <v>659</v>
      </c>
      <c r="AG134" s="11" t="s">
        <v>299</v>
      </c>
      <c r="AH134" s="231" t="s">
        <v>167</v>
      </c>
      <c r="AI134" s="231" t="s">
        <v>339</v>
      </c>
      <c r="AJ134" s="163"/>
    </row>
    <row r="135" spans="1:36" s="3" customFormat="1" ht="80.099999999999994" customHeight="1">
      <c r="A135" s="266" t="s">
        <v>1008</v>
      </c>
      <c r="B135" s="210"/>
      <c r="C135" s="13" t="s">
        <v>168</v>
      </c>
      <c r="D135" s="14" t="s">
        <v>746</v>
      </c>
      <c r="E135" s="13" t="s">
        <v>361</v>
      </c>
      <c r="F135" s="11" t="s">
        <v>449</v>
      </c>
      <c r="G135" s="11" t="s">
        <v>870</v>
      </c>
      <c r="H135" s="10" t="s">
        <v>753</v>
      </c>
      <c r="I135" s="10" t="s">
        <v>790</v>
      </c>
      <c r="J135" s="13">
        <v>16</v>
      </c>
      <c r="K135" s="231"/>
      <c r="L135" s="231"/>
      <c r="M135" s="47"/>
      <c r="N135" s="10" t="s">
        <v>447</v>
      </c>
      <c r="O135" s="245">
        <v>0.06</v>
      </c>
      <c r="P135" s="30" t="s">
        <v>361</v>
      </c>
      <c r="Q135" s="30" t="s">
        <v>361</v>
      </c>
      <c r="R135" s="245"/>
      <c r="S135" s="245"/>
      <c r="T135" s="18" t="e">
        <f>(#REF!-#REF!)/1.2</f>
        <v>#REF!</v>
      </c>
      <c r="U135" s="51" t="e">
        <f>T135*1.2/#REF!</f>
        <v>#REF!</v>
      </c>
      <c r="V135" s="52">
        <v>95.04</v>
      </c>
      <c r="W135" s="53" t="e">
        <f>V135*#REF!</f>
        <v>#REF!</v>
      </c>
      <c r="X135" s="55" t="e">
        <f>(W135/#REF!)-1</f>
        <v>#REF!</v>
      </c>
      <c r="Y135" s="54" t="e">
        <f>W135-#REF!</f>
        <v>#REF!</v>
      </c>
      <c r="Z135" s="55" t="e">
        <f>1-(#REF!/W135)</f>
        <v>#REF!</v>
      </c>
      <c r="AA135" s="64">
        <v>109.3</v>
      </c>
      <c r="AB135" s="63" t="e">
        <f>AA135*#REF!</f>
        <v>#REF!</v>
      </c>
      <c r="AC135" s="62" t="e">
        <f>(AB135/#REF!)-1</f>
        <v>#REF!</v>
      </c>
      <c r="AD135" s="63" t="e">
        <f>AB135-#REF!</f>
        <v>#REF!</v>
      </c>
      <c r="AE135" s="154" t="e">
        <f>1-(#REF!/AB135)</f>
        <v>#REF!</v>
      </c>
      <c r="AF135" s="160" t="s">
        <v>660</v>
      </c>
      <c r="AG135" s="11" t="s">
        <v>449</v>
      </c>
      <c r="AH135" s="231" t="s">
        <v>169</v>
      </c>
      <c r="AI135" s="231" t="s">
        <v>321</v>
      </c>
      <c r="AJ135" s="163"/>
    </row>
    <row r="136" spans="1:36" ht="80.099999999999994" customHeight="1">
      <c r="A136" s="266" t="s">
        <v>1009</v>
      </c>
      <c r="B136" s="210"/>
      <c r="C136" s="13" t="s">
        <v>170</v>
      </c>
      <c r="D136" s="14" t="s">
        <v>746</v>
      </c>
      <c r="E136" s="13" t="s">
        <v>361</v>
      </c>
      <c r="F136" s="11" t="s">
        <v>300</v>
      </c>
      <c r="G136" s="11" t="s">
        <v>870</v>
      </c>
      <c r="H136" s="10" t="s">
        <v>753</v>
      </c>
      <c r="I136" s="10" t="s">
        <v>790</v>
      </c>
      <c r="J136" s="13">
        <v>16</v>
      </c>
      <c r="K136" s="231"/>
      <c r="L136" s="231"/>
      <c r="M136" s="47"/>
      <c r="N136" s="10" t="s">
        <v>448</v>
      </c>
      <c r="O136" s="245">
        <v>0.38</v>
      </c>
      <c r="P136" s="30" t="s">
        <v>361</v>
      </c>
      <c r="Q136" s="30" t="s">
        <v>361</v>
      </c>
      <c r="R136" s="245"/>
      <c r="S136" s="245"/>
      <c r="T136" s="18" t="e">
        <f>(#REF!-#REF!)/1.2</f>
        <v>#REF!</v>
      </c>
      <c r="U136" s="51" t="e">
        <f>T136*1.2/#REF!</f>
        <v>#REF!</v>
      </c>
      <c r="V136" s="52"/>
      <c r="W136" s="53" t="e">
        <f>V136*#REF!</f>
        <v>#REF!</v>
      </c>
      <c r="X136" s="55" t="e">
        <f>(W136/#REF!)-1</f>
        <v>#REF!</v>
      </c>
      <c r="Y136" s="54" t="e">
        <f>W136-#REF!</f>
        <v>#REF!</v>
      </c>
      <c r="Z136" s="55" t="e">
        <f>1-(#REF!/W136)</f>
        <v>#REF!</v>
      </c>
      <c r="AA136" s="64"/>
      <c r="AB136" s="63" t="e">
        <f>AA136*#REF!</f>
        <v>#REF!</v>
      </c>
      <c r="AC136" s="62" t="e">
        <f>(AB136/#REF!)-1</f>
        <v>#REF!</v>
      </c>
      <c r="AD136" s="63" t="e">
        <f>AB136-#REF!</f>
        <v>#REF!</v>
      </c>
      <c r="AE136" s="154" t="e">
        <f>1-(#REF!/AB136)</f>
        <v>#REF!</v>
      </c>
      <c r="AF136" s="157" t="s">
        <v>661</v>
      </c>
      <c r="AG136" s="11" t="s">
        <v>300</v>
      </c>
      <c r="AH136" s="231" t="s">
        <v>171</v>
      </c>
      <c r="AI136" s="231"/>
      <c r="AJ136" s="163"/>
    </row>
    <row r="137" spans="1:36" ht="80.099999999999994" customHeight="1">
      <c r="A137" s="266" t="s">
        <v>1010</v>
      </c>
      <c r="B137" s="211"/>
      <c r="C137" s="13" t="s">
        <v>172</v>
      </c>
      <c r="D137" s="14" t="s">
        <v>746</v>
      </c>
      <c r="E137" s="13" t="s">
        <v>361</v>
      </c>
      <c r="F137" s="11" t="s">
        <v>301</v>
      </c>
      <c r="G137" s="11" t="s">
        <v>871</v>
      </c>
      <c r="H137" s="10" t="s">
        <v>753</v>
      </c>
      <c r="I137" s="10" t="s">
        <v>791</v>
      </c>
      <c r="J137" s="13">
        <v>16</v>
      </c>
      <c r="K137" s="231"/>
      <c r="L137" s="231"/>
      <c r="M137" s="47"/>
      <c r="N137" s="47" t="s">
        <v>241</v>
      </c>
      <c r="O137" s="245">
        <v>1.46</v>
      </c>
      <c r="P137" s="30" t="s">
        <v>361</v>
      </c>
      <c r="Q137" s="30" t="s">
        <v>361</v>
      </c>
      <c r="R137" s="245" t="s">
        <v>888</v>
      </c>
      <c r="S137" s="245"/>
      <c r="T137" s="18" t="e">
        <f>(#REF!-#REF!)/1.2</f>
        <v>#REF!</v>
      </c>
      <c r="U137" s="51" t="e">
        <f>T137*1.2/#REF!</f>
        <v>#REF!</v>
      </c>
      <c r="V137" s="52">
        <v>81.84</v>
      </c>
      <c r="W137" s="53" t="e">
        <f>V137*#REF!</f>
        <v>#REF!</v>
      </c>
      <c r="X137" s="55" t="e">
        <f>(W137/#REF!)-1</f>
        <v>#REF!</v>
      </c>
      <c r="Y137" s="54" t="e">
        <f>W137-#REF!</f>
        <v>#REF!</v>
      </c>
      <c r="Z137" s="55" t="e">
        <f>1-(#REF!/W137)</f>
        <v>#REF!</v>
      </c>
      <c r="AA137" s="64">
        <v>94.12</v>
      </c>
      <c r="AB137" s="63" t="e">
        <f>AA137*#REF!</f>
        <v>#REF!</v>
      </c>
      <c r="AC137" s="62" t="e">
        <f>(AB137/#REF!)-1</f>
        <v>#REF!</v>
      </c>
      <c r="AD137" s="63" t="e">
        <f>AB137-#REF!</f>
        <v>#REF!</v>
      </c>
      <c r="AE137" s="154" t="e">
        <f>1-(#REF!/AB137)</f>
        <v>#REF!</v>
      </c>
      <c r="AF137" s="157" t="s">
        <v>662</v>
      </c>
      <c r="AG137" s="11" t="s">
        <v>301</v>
      </c>
      <c r="AH137" s="231" t="s">
        <v>173</v>
      </c>
      <c r="AI137" s="231" t="s">
        <v>322</v>
      </c>
      <c r="AJ137" s="163"/>
    </row>
    <row r="138" spans="1:36" ht="80.099999999999994" customHeight="1">
      <c r="A138" s="266" t="s">
        <v>1011</v>
      </c>
      <c r="B138" s="211"/>
      <c r="C138" s="13" t="s">
        <v>174</v>
      </c>
      <c r="D138" s="14" t="s">
        <v>746</v>
      </c>
      <c r="E138" s="13" t="s">
        <v>361</v>
      </c>
      <c r="F138" s="7" t="s">
        <v>450</v>
      </c>
      <c r="G138" s="7" t="s">
        <v>871</v>
      </c>
      <c r="H138" s="166" t="s">
        <v>753</v>
      </c>
      <c r="I138" s="10" t="s">
        <v>791</v>
      </c>
      <c r="J138" s="13">
        <v>16</v>
      </c>
      <c r="K138" s="231"/>
      <c r="L138" s="231"/>
      <c r="M138" s="47"/>
      <c r="N138" s="10" t="s">
        <v>447</v>
      </c>
      <c r="O138" s="249">
        <v>0.22</v>
      </c>
      <c r="P138" s="30" t="s">
        <v>361</v>
      </c>
      <c r="Q138" s="30" t="s">
        <v>361</v>
      </c>
      <c r="R138" s="245"/>
      <c r="S138" s="245"/>
      <c r="T138" s="18" t="e">
        <f>(#REF!-#REF!)/1.2</f>
        <v>#REF!</v>
      </c>
      <c r="U138" s="51" t="e">
        <f>T138*1.2/#REF!</f>
        <v>#REF!</v>
      </c>
      <c r="V138" s="52">
        <v>124.08</v>
      </c>
      <c r="W138" s="53" t="e">
        <f>V138*#REF!</f>
        <v>#REF!</v>
      </c>
      <c r="X138" s="55" t="e">
        <f>(W138/#REF!)-1</f>
        <v>#REF!</v>
      </c>
      <c r="Y138" s="54" t="e">
        <f>W138-#REF!</f>
        <v>#REF!</v>
      </c>
      <c r="Z138" s="55" t="e">
        <f>1-(#REF!/W138)</f>
        <v>#REF!</v>
      </c>
      <c r="AA138" s="64">
        <v>142.69</v>
      </c>
      <c r="AB138" s="63" t="e">
        <f>AA138*#REF!</f>
        <v>#REF!</v>
      </c>
      <c r="AC138" s="62" t="e">
        <f>(AB138/#REF!)-1</f>
        <v>#REF!</v>
      </c>
      <c r="AD138" s="63" t="e">
        <f>AB138-#REF!</f>
        <v>#REF!</v>
      </c>
      <c r="AE138" s="154" t="e">
        <f>1-(#REF!/AB138)</f>
        <v>#REF!</v>
      </c>
      <c r="AF138" s="157" t="s">
        <v>663</v>
      </c>
      <c r="AG138" s="7" t="s">
        <v>450</v>
      </c>
      <c r="AH138" s="231" t="s">
        <v>175</v>
      </c>
      <c r="AI138" s="231" t="s">
        <v>323</v>
      </c>
      <c r="AJ138" s="163"/>
    </row>
    <row r="139" spans="1:36" ht="80.099999999999994" customHeight="1" thickBot="1">
      <c r="A139" s="266" t="s">
        <v>1012</v>
      </c>
      <c r="B139" s="212"/>
      <c r="C139" s="129" t="s">
        <v>176</v>
      </c>
      <c r="D139" s="172" t="s">
        <v>746</v>
      </c>
      <c r="E139" s="129" t="s">
        <v>361</v>
      </c>
      <c r="F139" s="105" t="s">
        <v>302</v>
      </c>
      <c r="G139" s="105" t="s">
        <v>871</v>
      </c>
      <c r="H139" s="106" t="s">
        <v>753</v>
      </c>
      <c r="I139" s="130" t="s">
        <v>791</v>
      </c>
      <c r="J139" s="129">
        <v>16</v>
      </c>
      <c r="K139" s="233"/>
      <c r="L139" s="233"/>
      <c r="M139" s="106"/>
      <c r="N139" s="130" t="s">
        <v>448</v>
      </c>
      <c r="O139" s="250">
        <v>1.46</v>
      </c>
      <c r="P139" s="132" t="s">
        <v>361</v>
      </c>
      <c r="Q139" s="132" t="s">
        <v>361</v>
      </c>
      <c r="R139" s="246"/>
      <c r="S139" s="246"/>
      <c r="T139" s="110" t="e">
        <f>(#REF!-#REF!)/1.2</f>
        <v>#REF!</v>
      </c>
      <c r="U139" s="111" t="e">
        <f>T139*1.2/#REF!</f>
        <v>#REF!</v>
      </c>
      <c r="V139" s="112"/>
      <c r="W139" s="113" t="e">
        <f>V139*#REF!</f>
        <v>#REF!</v>
      </c>
      <c r="X139" s="114" t="e">
        <f>(W139/#REF!)-1</f>
        <v>#REF!</v>
      </c>
      <c r="Y139" s="115" t="e">
        <f>W139-#REF!</f>
        <v>#REF!</v>
      </c>
      <c r="Z139" s="114" t="e">
        <f>1-(#REF!/W139)</f>
        <v>#REF!</v>
      </c>
      <c r="AA139" s="116"/>
      <c r="AB139" s="117" t="e">
        <f>AA139*#REF!</f>
        <v>#REF!</v>
      </c>
      <c r="AC139" s="118" t="e">
        <f>(AB139/#REF!)-1</f>
        <v>#REF!</v>
      </c>
      <c r="AD139" s="117" t="e">
        <f>AB139-#REF!</f>
        <v>#REF!</v>
      </c>
      <c r="AE139" s="155" t="e">
        <f>1-(#REF!/AB139)</f>
        <v>#REF!</v>
      </c>
      <c r="AF139" s="157" t="s">
        <v>664</v>
      </c>
      <c r="AG139" s="105" t="s">
        <v>302</v>
      </c>
      <c r="AH139" s="233" t="s">
        <v>177</v>
      </c>
      <c r="AI139" s="233"/>
      <c r="AJ139" s="163"/>
    </row>
    <row r="140" spans="1:36" ht="90" customHeight="1">
      <c r="A140" s="266" t="s">
        <v>1013</v>
      </c>
      <c r="B140" s="191"/>
      <c r="C140" s="133" t="s">
        <v>186</v>
      </c>
      <c r="D140" s="173" t="s">
        <v>747</v>
      </c>
      <c r="E140" s="133" t="s">
        <v>361</v>
      </c>
      <c r="F140" s="134" t="s">
        <v>503</v>
      </c>
      <c r="G140" s="134" t="s">
        <v>876</v>
      </c>
      <c r="H140" s="135" t="s">
        <v>753</v>
      </c>
      <c r="I140" s="135" t="s">
        <v>504</v>
      </c>
      <c r="J140" s="135">
        <v>16</v>
      </c>
      <c r="K140" s="229"/>
      <c r="L140" s="229"/>
      <c r="M140" s="91"/>
      <c r="N140" s="91" t="s">
        <v>512</v>
      </c>
      <c r="O140" s="261">
        <v>2.8</v>
      </c>
      <c r="P140" s="93" t="s">
        <v>361</v>
      </c>
      <c r="Q140" s="93" t="s">
        <v>361</v>
      </c>
      <c r="R140" s="261" t="s">
        <v>887</v>
      </c>
      <c r="S140" s="247"/>
      <c r="T140" s="95" t="e">
        <f>(#REF!-#REF!)/1.2</f>
        <v>#REF!</v>
      </c>
      <c r="U140" s="96" t="e">
        <f>T140*1.2/#REF!</f>
        <v>#REF!</v>
      </c>
      <c r="V140" s="97">
        <v>114.84</v>
      </c>
      <c r="W140" s="98" t="e">
        <f>V140*#REF!</f>
        <v>#REF!</v>
      </c>
      <c r="X140" s="99" t="e">
        <f>(W140/#REF!)-1</f>
        <v>#REF!</v>
      </c>
      <c r="Y140" s="100" t="e">
        <f>W140-#REF!</f>
        <v>#REF!</v>
      </c>
      <c r="Z140" s="99" t="e">
        <f>1-(#REF!/W140)</f>
        <v>#REF!</v>
      </c>
      <c r="AA140" s="101">
        <v>132.07</v>
      </c>
      <c r="AB140" s="102" t="e">
        <f>AA140*#REF!</f>
        <v>#REF!</v>
      </c>
      <c r="AC140" s="103" t="e">
        <f>(AB140/#REF!)-1</f>
        <v>#REF!</v>
      </c>
      <c r="AD140" s="102" t="e">
        <f>AB140-#REF!</f>
        <v>#REF!</v>
      </c>
      <c r="AE140" s="153" t="e">
        <f>1-(#REF!/AB140)</f>
        <v>#REF!</v>
      </c>
      <c r="AF140" s="157" t="s">
        <v>665</v>
      </c>
      <c r="AG140" s="134" t="s">
        <v>503</v>
      </c>
      <c r="AH140" s="238" t="s">
        <v>505</v>
      </c>
      <c r="AI140" s="238">
        <v>160830</v>
      </c>
      <c r="AJ140" s="163"/>
    </row>
    <row r="141" spans="1:36" ht="90" customHeight="1">
      <c r="A141" s="266" t="s">
        <v>1014</v>
      </c>
      <c r="B141" s="192"/>
      <c r="C141" s="36" t="s">
        <v>187</v>
      </c>
      <c r="D141" s="35" t="s">
        <v>747</v>
      </c>
      <c r="E141" s="36" t="s">
        <v>361</v>
      </c>
      <c r="F141" s="16" t="s">
        <v>303</v>
      </c>
      <c r="G141" s="16" t="s">
        <v>877</v>
      </c>
      <c r="H141" s="15" t="s">
        <v>753</v>
      </c>
      <c r="I141" s="47" t="s">
        <v>792</v>
      </c>
      <c r="J141" s="218">
        <v>16</v>
      </c>
      <c r="K141" s="220"/>
      <c r="L141" s="220"/>
      <c r="M141" s="47"/>
      <c r="N141" s="37" t="s">
        <v>506</v>
      </c>
      <c r="O141" s="249">
        <v>0.1</v>
      </c>
      <c r="P141" s="32" t="s">
        <v>361</v>
      </c>
      <c r="Q141" s="32" t="s">
        <v>361</v>
      </c>
      <c r="R141" s="248"/>
      <c r="S141" s="248"/>
      <c r="T141" s="18" t="e">
        <f>(#REF!-#REF!)/1.2</f>
        <v>#REF!</v>
      </c>
      <c r="U141" s="51" t="e">
        <f>T141*1.2/#REF!</f>
        <v>#REF!</v>
      </c>
      <c r="V141" s="52">
        <v>30.36</v>
      </c>
      <c r="W141" s="53" t="e">
        <f>V141*#REF!</f>
        <v>#REF!</v>
      </c>
      <c r="X141" s="55" t="e">
        <f>(W141/#REF!)-1</f>
        <v>#REF!</v>
      </c>
      <c r="Y141" s="54" t="e">
        <f>W141-#REF!</f>
        <v>#REF!</v>
      </c>
      <c r="Z141" s="55" t="e">
        <f>1-(#REF!/W141)</f>
        <v>#REF!</v>
      </c>
      <c r="AA141" s="64">
        <v>34.909999999999997</v>
      </c>
      <c r="AB141" s="63" t="e">
        <f>AA141*#REF!</f>
        <v>#REF!</v>
      </c>
      <c r="AC141" s="62" t="e">
        <f>(AB141/#REF!)-1</f>
        <v>#REF!</v>
      </c>
      <c r="AD141" s="63" t="e">
        <f>AB141-#REF!</f>
        <v>#REF!</v>
      </c>
      <c r="AE141" s="154" t="e">
        <f>1-(#REF!/AB141)</f>
        <v>#REF!</v>
      </c>
      <c r="AF141" s="157" t="s">
        <v>666</v>
      </c>
      <c r="AG141" s="16" t="s">
        <v>303</v>
      </c>
      <c r="AH141" s="239" t="s">
        <v>188</v>
      </c>
      <c r="AI141" s="239">
        <v>160820</v>
      </c>
      <c r="AJ141" s="163"/>
    </row>
    <row r="142" spans="1:36" ht="90" customHeight="1">
      <c r="A142" s="266" t="s">
        <v>1015</v>
      </c>
      <c r="B142" s="192"/>
      <c r="C142" s="43" t="s">
        <v>189</v>
      </c>
      <c r="D142" s="174" t="s">
        <v>747</v>
      </c>
      <c r="E142" s="43" t="s">
        <v>361</v>
      </c>
      <c r="F142" s="35" t="s">
        <v>493</v>
      </c>
      <c r="G142" s="35" t="s">
        <v>878</v>
      </c>
      <c r="H142" s="36" t="s">
        <v>753</v>
      </c>
      <c r="I142" s="36" t="s">
        <v>494</v>
      </c>
      <c r="J142" s="36">
        <v>16</v>
      </c>
      <c r="K142" s="239"/>
      <c r="L142" s="239"/>
      <c r="M142" s="150"/>
      <c r="N142" s="37" t="s">
        <v>495</v>
      </c>
      <c r="O142" s="248">
        <v>0.5</v>
      </c>
      <c r="P142" s="32" t="s">
        <v>361</v>
      </c>
      <c r="Q142" s="32" t="s">
        <v>361</v>
      </c>
      <c r="R142" s="248"/>
      <c r="S142" s="248"/>
      <c r="T142" s="18" t="e">
        <f>(#REF!-#REF!)/1.2</f>
        <v>#REF!</v>
      </c>
      <c r="U142" s="51" t="e">
        <f>T142*1.2/#REF!</f>
        <v>#REF!</v>
      </c>
      <c r="V142" s="52"/>
      <c r="W142" s="53" t="e">
        <f>V142*#REF!</f>
        <v>#REF!</v>
      </c>
      <c r="X142" s="55" t="e">
        <f>(W142/#REF!)-1</f>
        <v>#REF!</v>
      </c>
      <c r="Y142" s="54" t="e">
        <f>W142-#REF!</f>
        <v>#REF!</v>
      </c>
      <c r="Z142" s="55" t="e">
        <f>1-(#REF!/W142)</f>
        <v>#REF!</v>
      </c>
      <c r="AA142" s="64"/>
      <c r="AB142" s="63" t="e">
        <f>AA142*#REF!</f>
        <v>#REF!</v>
      </c>
      <c r="AC142" s="62" t="e">
        <f>(AB142/#REF!)-1</f>
        <v>#REF!</v>
      </c>
      <c r="AD142" s="63" t="e">
        <f>AB142-#REF!</f>
        <v>#REF!</v>
      </c>
      <c r="AE142" s="154" t="e">
        <f>1-(#REF!/AB142)</f>
        <v>#REF!</v>
      </c>
      <c r="AF142" s="157" t="s">
        <v>667</v>
      </c>
      <c r="AG142" s="35" t="s">
        <v>493</v>
      </c>
      <c r="AH142" s="240" t="s">
        <v>190</v>
      </c>
      <c r="AI142" s="240"/>
      <c r="AJ142" s="163"/>
    </row>
    <row r="143" spans="1:36" ht="90" customHeight="1">
      <c r="A143" s="266" t="s">
        <v>1016</v>
      </c>
      <c r="B143" s="192"/>
      <c r="C143" s="43" t="s">
        <v>191</v>
      </c>
      <c r="D143" s="174" t="s">
        <v>747</v>
      </c>
      <c r="E143" s="43" t="s">
        <v>361</v>
      </c>
      <c r="F143" s="35" t="s">
        <v>491</v>
      </c>
      <c r="G143" s="35" t="s">
        <v>879</v>
      </c>
      <c r="H143" s="36" t="s">
        <v>753</v>
      </c>
      <c r="I143" s="36" t="s">
        <v>492</v>
      </c>
      <c r="J143" s="36">
        <v>16</v>
      </c>
      <c r="K143" s="239"/>
      <c r="L143" s="239"/>
      <c r="M143" s="47"/>
      <c r="N143" s="15"/>
      <c r="O143" s="265">
        <v>0.56000000000000005</v>
      </c>
      <c r="P143" s="32" t="s">
        <v>361</v>
      </c>
      <c r="Q143" s="32" t="s">
        <v>361</v>
      </c>
      <c r="R143" s="248"/>
      <c r="S143" s="248"/>
      <c r="T143" s="18" t="e">
        <f>(#REF!-#REF!)/1.2</f>
        <v>#REF!</v>
      </c>
      <c r="U143" s="51" t="e">
        <f>T143*1.2/#REF!</f>
        <v>#REF!</v>
      </c>
      <c r="V143" s="52"/>
      <c r="W143" s="53" t="e">
        <f>V143*#REF!</f>
        <v>#REF!</v>
      </c>
      <c r="X143" s="55" t="e">
        <f>(W143/#REF!)-1</f>
        <v>#REF!</v>
      </c>
      <c r="Y143" s="54" t="e">
        <f>W143-#REF!</f>
        <v>#REF!</v>
      </c>
      <c r="Z143" s="55" t="e">
        <f>1-(#REF!/W143)</f>
        <v>#REF!</v>
      </c>
      <c r="AA143" s="64"/>
      <c r="AB143" s="63" t="e">
        <f>AA143*#REF!</f>
        <v>#REF!</v>
      </c>
      <c r="AC143" s="62" t="e">
        <f>(AB143/#REF!)-1</f>
        <v>#REF!</v>
      </c>
      <c r="AD143" s="63" t="e">
        <f>AB143-#REF!</f>
        <v>#REF!</v>
      </c>
      <c r="AE143" s="154" t="e">
        <f>1-(#REF!/AB143)</f>
        <v>#REF!</v>
      </c>
      <c r="AF143" s="157" t="s">
        <v>668</v>
      </c>
      <c r="AG143" s="35" t="s">
        <v>491</v>
      </c>
      <c r="AH143" s="240" t="s">
        <v>192</v>
      </c>
      <c r="AI143" s="240" t="s">
        <v>748</v>
      </c>
      <c r="AJ143" s="163"/>
    </row>
    <row r="144" spans="1:36" ht="50.1" customHeight="1">
      <c r="A144" s="266" t="s">
        <v>1017</v>
      </c>
      <c r="B144" s="21"/>
      <c r="C144" s="36" t="s">
        <v>193</v>
      </c>
      <c r="D144" s="35" t="s">
        <v>747</v>
      </c>
      <c r="E144" s="36" t="s">
        <v>361</v>
      </c>
      <c r="F144" s="7" t="s">
        <v>496</v>
      </c>
      <c r="G144" s="7" t="s">
        <v>884</v>
      </c>
      <c r="H144" s="166" t="s">
        <v>753</v>
      </c>
      <c r="I144" s="15" t="s">
        <v>497</v>
      </c>
      <c r="J144" s="36">
        <v>16</v>
      </c>
      <c r="K144" s="239"/>
      <c r="L144" s="239"/>
      <c r="M144" s="47"/>
      <c r="N144" s="15" t="s">
        <v>498</v>
      </c>
      <c r="O144" s="248">
        <v>0.1</v>
      </c>
      <c r="P144" s="32" t="s">
        <v>361</v>
      </c>
      <c r="Q144" s="32" t="s">
        <v>361</v>
      </c>
      <c r="R144" s="248"/>
      <c r="S144" s="248"/>
      <c r="T144" s="18" t="e">
        <f>(#REF!-#REF!)/1.2</f>
        <v>#REF!</v>
      </c>
      <c r="U144" s="51" t="e">
        <f>T144*1.2/#REF!</f>
        <v>#REF!</v>
      </c>
      <c r="V144" s="52"/>
      <c r="W144" s="53" t="e">
        <f>V144*#REF!</f>
        <v>#REF!</v>
      </c>
      <c r="X144" s="55" t="e">
        <f>(W144/#REF!)-1</f>
        <v>#REF!</v>
      </c>
      <c r="Y144" s="54" t="e">
        <f>W144-#REF!</f>
        <v>#REF!</v>
      </c>
      <c r="Z144" s="55" t="e">
        <f>1-(#REF!/W144)</f>
        <v>#REF!</v>
      </c>
      <c r="AA144" s="64"/>
      <c r="AB144" s="63" t="e">
        <f>AA144*#REF!</f>
        <v>#REF!</v>
      </c>
      <c r="AC144" s="62" t="e">
        <f>(AB144/#REF!)-1</f>
        <v>#REF!</v>
      </c>
      <c r="AD144" s="63" t="e">
        <f>AB144-#REF!</f>
        <v>#REF!</v>
      </c>
      <c r="AE144" s="154" t="e">
        <f>1-(#REF!/AB144)</f>
        <v>#REF!</v>
      </c>
      <c r="AF144" s="157" t="s">
        <v>669</v>
      </c>
      <c r="AG144" s="7" t="s">
        <v>496</v>
      </c>
      <c r="AH144" s="239" t="s">
        <v>194</v>
      </c>
      <c r="AI144" s="239"/>
      <c r="AJ144" s="163"/>
    </row>
    <row r="145" spans="1:36" ht="50.1" customHeight="1">
      <c r="A145" s="266" t="s">
        <v>1018</v>
      </c>
      <c r="B145" s="194"/>
      <c r="C145" s="36" t="s">
        <v>195</v>
      </c>
      <c r="D145" s="35" t="s">
        <v>747</v>
      </c>
      <c r="E145" s="36" t="s">
        <v>361</v>
      </c>
      <c r="F145" s="7" t="s">
        <v>499</v>
      </c>
      <c r="G145" s="7" t="s">
        <v>883</v>
      </c>
      <c r="H145" s="166" t="s">
        <v>753</v>
      </c>
      <c r="I145" s="15" t="s">
        <v>501</v>
      </c>
      <c r="J145" s="36">
        <v>16</v>
      </c>
      <c r="K145" s="239"/>
      <c r="L145" s="239"/>
      <c r="M145" s="47"/>
      <c r="N145" s="15" t="s">
        <v>498</v>
      </c>
      <c r="O145" s="249">
        <v>0.02</v>
      </c>
      <c r="P145" s="29" t="s">
        <v>361</v>
      </c>
      <c r="Q145" s="29" t="s">
        <v>361</v>
      </c>
      <c r="R145" s="249"/>
      <c r="S145" s="248"/>
      <c r="T145" s="18" t="e">
        <f>(#REF!-#REF!)/1.2</f>
        <v>#REF!</v>
      </c>
      <c r="U145" s="51" t="e">
        <f>T145*1.2/#REF!</f>
        <v>#REF!</v>
      </c>
      <c r="V145" s="52">
        <v>29.04</v>
      </c>
      <c r="W145" s="53" t="e">
        <f>V145*#REF!</f>
        <v>#REF!</v>
      </c>
      <c r="X145" s="55" t="e">
        <f>(W145/#REF!)-1</f>
        <v>#REF!</v>
      </c>
      <c r="Y145" s="54" t="e">
        <f>W145-#REF!</f>
        <v>#REF!</v>
      </c>
      <c r="Z145" s="55" t="e">
        <f>1-(#REF!/W145)</f>
        <v>#REF!</v>
      </c>
      <c r="AA145" s="64">
        <v>34.85</v>
      </c>
      <c r="AB145" s="63" t="e">
        <f>AA145*#REF!</f>
        <v>#REF!</v>
      </c>
      <c r="AC145" s="62" t="e">
        <f>(AB145/#REF!)-1</f>
        <v>#REF!</v>
      </c>
      <c r="AD145" s="63" t="e">
        <f>AB145-#REF!</f>
        <v>#REF!</v>
      </c>
      <c r="AE145" s="154" t="e">
        <f>1-(#REF!/AB145)</f>
        <v>#REF!</v>
      </c>
      <c r="AF145" s="157" t="s">
        <v>670</v>
      </c>
      <c r="AG145" s="7" t="s">
        <v>499</v>
      </c>
      <c r="AH145" s="239" t="s">
        <v>196</v>
      </c>
      <c r="AI145" s="239">
        <v>280852</v>
      </c>
      <c r="AJ145" s="163"/>
    </row>
    <row r="146" spans="1:36" ht="50.1" customHeight="1">
      <c r="A146" s="266" t="s">
        <v>1019</v>
      </c>
      <c r="B146" s="204"/>
      <c r="C146" s="36" t="s">
        <v>197</v>
      </c>
      <c r="D146" s="35" t="s">
        <v>747</v>
      </c>
      <c r="E146" s="36" t="s">
        <v>361</v>
      </c>
      <c r="F146" s="7" t="s">
        <v>500</v>
      </c>
      <c r="G146" s="214" t="s">
        <v>897</v>
      </c>
      <c r="H146" s="166" t="s">
        <v>753</v>
      </c>
      <c r="I146" s="15" t="s">
        <v>502</v>
      </c>
      <c r="J146" s="36">
        <v>16</v>
      </c>
      <c r="K146" s="239"/>
      <c r="L146" s="239"/>
      <c r="M146" s="47"/>
      <c r="N146" s="15" t="s">
        <v>498</v>
      </c>
      <c r="O146" s="249">
        <v>0.01</v>
      </c>
      <c r="P146" s="29" t="s">
        <v>361</v>
      </c>
      <c r="Q146" s="29" t="s">
        <v>361</v>
      </c>
      <c r="R146" s="249"/>
      <c r="S146" s="248"/>
      <c r="T146" s="18" t="e">
        <f>(#REF!-#REF!)/1.2</f>
        <v>#REF!</v>
      </c>
      <c r="U146" s="51" t="e">
        <f>T146*1.2/#REF!</f>
        <v>#REF!</v>
      </c>
      <c r="V146" s="52">
        <v>22.44</v>
      </c>
      <c r="W146" s="53" t="e">
        <f>V146*#REF!</f>
        <v>#REF!</v>
      </c>
      <c r="X146" s="55" t="e">
        <f>(W146/#REF!)-1</f>
        <v>#REF!</v>
      </c>
      <c r="Y146" s="54" t="e">
        <f>W146-#REF!</f>
        <v>#REF!</v>
      </c>
      <c r="Z146" s="55" t="e">
        <f>1-(#REF!/W146)</f>
        <v>#REF!</v>
      </c>
      <c r="AA146" s="64">
        <v>25.81</v>
      </c>
      <c r="AB146" s="63" t="e">
        <f>AA146*#REF!</f>
        <v>#REF!</v>
      </c>
      <c r="AC146" s="62" t="e">
        <f>(AB146/#REF!)-1</f>
        <v>#REF!</v>
      </c>
      <c r="AD146" s="63" t="e">
        <f>AB146-#REF!</f>
        <v>#REF!</v>
      </c>
      <c r="AE146" s="154" t="e">
        <f>1-(#REF!/AB146)</f>
        <v>#REF!</v>
      </c>
      <c r="AF146" s="157" t="s">
        <v>671</v>
      </c>
      <c r="AG146" s="7" t="s">
        <v>500</v>
      </c>
      <c r="AH146" s="239" t="s">
        <v>198</v>
      </c>
      <c r="AI146" s="239">
        <v>160852</v>
      </c>
      <c r="AJ146" s="163"/>
    </row>
    <row r="147" spans="1:36" ht="69.95" customHeight="1">
      <c r="A147" s="266" t="s">
        <v>1020</v>
      </c>
      <c r="B147" s="192"/>
      <c r="C147" s="36" t="s">
        <v>199</v>
      </c>
      <c r="D147" s="35" t="s">
        <v>747</v>
      </c>
      <c r="E147" s="36" t="s">
        <v>361</v>
      </c>
      <c r="F147" s="35" t="s">
        <v>507</v>
      </c>
      <c r="G147" s="35" t="s">
        <v>880</v>
      </c>
      <c r="H147" s="36" t="s">
        <v>753</v>
      </c>
      <c r="I147" s="48"/>
      <c r="J147" s="218">
        <v>16</v>
      </c>
      <c r="K147" s="220"/>
      <c r="L147" s="220"/>
      <c r="M147" s="47"/>
      <c r="N147" s="48"/>
      <c r="O147" s="249">
        <v>0.34</v>
      </c>
      <c r="P147" s="29" t="s">
        <v>361</v>
      </c>
      <c r="Q147" s="29" t="s">
        <v>361</v>
      </c>
      <c r="R147" s="249"/>
      <c r="S147" s="249"/>
      <c r="T147" s="18" t="e">
        <f>(#REF!-#REF!)/1.2</f>
        <v>#REF!</v>
      </c>
      <c r="U147" s="51" t="e">
        <f>T147*1.2/#REF!</f>
        <v>#REF!</v>
      </c>
      <c r="V147" s="52">
        <v>84.44</v>
      </c>
      <c r="W147" s="53" t="e">
        <f>V147*#REF!</f>
        <v>#REF!</v>
      </c>
      <c r="X147" s="55" t="e">
        <f>(W147/#REF!)-1</f>
        <v>#REF!</v>
      </c>
      <c r="Y147" s="54" t="e">
        <f>W147-#REF!</f>
        <v>#REF!</v>
      </c>
      <c r="Z147" s="55" t="e">
        <f>1-(#REF!/W147)</f>
        <v>#REF!</v>
      </c>
      <c r="AA147" s="64">
        <v>101.71</v>
      </c>
      <c r="AB147" s="63" t="e">
        <f>AA147*#REF!</f>
        <v>#REF!</v>
      </c>
      <c r="AC147" s="62" t="e">
        <f>(AB147/#REF!)-1</f>
        <v>#REF!</v>
      </c>
      <c r="AD147" s="63" t="e">
        <f>AB147-#REF!</f>
        <v>#REF!</v>
      </c>
      <c r="AE147" s="154" t="e">
        <f>1-(#REF!/AB147)</f>
        <v>#REF!</v>
      </c>
      <c r="AF147" s="157" t="s">
        <v>672</v>
      </c>
      <c r="AG147" s="35" t="s">
        <v>507</v>
      </c>
      <c r="AH147" s="239" t="s">
        <v>200</v>
      </c>
      <c r="AI147" s="241" t="s">
        <v>749</v>
      </c>
      <c r="AJ147" s="163"/>
    </row>
    <row r="148" spans="1:36" ht="99.95" customHeight="1">
      <c r="A148" s="266" t="s">
        <v>1021</v>
      </c>
      <c r="B148" s="192"/>
      <c r="C148" s="6" t="s">
        <v>201</v>
      </c>
      <c r="D148" s="7" t="s">
        <v>747</v>
      </c>
      <c r="E148" s="166" t="s">
        <v>361</v>
      </c>
      <c r="F148" s="27" t="s">
        <v>509</v>
      </c>
      <c r="G148" s="27" t="s">
        <v>882</v>
      </c>
      <c r="H148" s="48" t="s">
        <v>753</v>
      </c>
      <c r="I148" s="48" t="s">
        <v>508</v>
      </c>
      <c r="J148" s="218">
        <v>16</v>
      </c>
      <c r="K148" s="220"/>
      <c r="L148" s="220"/>
      <c r="M148" s="47"/>
      <c r="N148" s="47" t="s">
        <v>512</v>
      </c>
      <c r="O148" s="249">
        <v>25</v>
      </c>
      <c r="P148" s="29" t="s">
        <v>361</v>
      </c>
      <c r="Q148" s="29" t="s">
        <v>361</v>
      </c>
      <c r="R148" s="249" t="s">
        <v>887</v>
      </c>
      <c r="S148" s="249"/>
      <c r="T148" s="18" t="e">
        <f>(#REF!-#REF!)/1.2</f>
        <v>#REF!</v>
      </c>
      <c r="U148" s="51" t="e">
        <f>T148*1.2/#REF!</f>
        <v>#REF!</v>
      </c>
      <c r="V148" s="52">
        <v>671.88</v>
      </c>
      <c r="W148" s="53" t="e">
        <f>V148*#REF!</f>
        <v>#REF!</v>
      </c>
      <c r="X148" s="55" t="e">
        <f>(W148/#REF!)-1</f>
        <v>#REF!</v>
      </c>
      <c r="Y148" s="54" t="e">
        <f>W148-#REF!</f>
        <v>#REF!</v>
      </c>
      <c r="Z148" s="55" t="e">
        <f>1-(#REF!/W148)</f>
        <v>#REF!</v>
      </c>
      <c r="AA148" s="64">
        <v>1109.6600000000001</v>
      </c>
      <c r="AB148" s="63" t="e">
        <f>AA148*#REF!</f>
        <v>#REF!</v>
      </c>
      <c r="AC148" s="62" t="e">
        <f>(AB148/#REF!)-1</f>
        <v>#REF!</v>
      </c>
      <c r="AD148" s="63" t="e">
        <f>AB148-#REF!</f>
        <v>#REF!</v>
      </c>
      <c r="AE148" s="154" t="e">
        <f>1-(#REF!/AB148)</f>
        <v>#REF!</v>
      </c>
      <c r="AF148" s="157" t="s">
        <v>673</v>
      </c>
      <c r="AG148" s="27" t="s">
        <v>509</v>
      </c>
      <c r="AH148" s="239" t="s">
        <v>202</v>
      </c>
      <c r="AI148" s="239" t="s">
        <v>527</v>
      </c>
      <c r="AJ148" s="163"/>
    </row>
    <row r="149" spans="1:36" ht="99.95" customHeight="1" thickBot="1">
      <c r="A149" s="266" t="s">
        <v>1022</v>
      </c>
      <c r="B149" s="213"/>
      <c r="C149" s="104" t="s">
        <v>203</v>
      </c>
      <c r="D149" s="105" t="s">
        <v>747</v>
      </c>
      <c r="E149" s="106" t="s">
        <v>361</v>
      </c>
      <c r="F149" s="136" t="s">
        <v>510</v>
      </c>
      <c r="G149" s="136" t="s">
        <v>881</v>
      </c>
      <c r="H149" s="107" t="s">
        <v>753</v>
      </c>
      <c r="I149" s="107" t="s">
        <v>511</v>
      </c>
      <c r="J149" s="106">
        <v>16</v>
      </c>
      <c r="K149" s="226"/>
      <c r="L149" s="226"/>
      <c r="M149" s="106"/>
      <c r="N149" s="106" t="s">
        <v>512</v>
      </c>
      <c r="O149" s="250">
        <v>35</v>
      </c>
      <c r="P149" s="124" t="s">
        <v>361</v>
      </c>
      <c r="Q149" s="124" t="s">
        <v>361</v>
      </c>
      <c r="R149" s="250" t="s">
        <v>887</v>
      </c>
      <c r="S149" s="250"/>
      <c r="T149" s="110" t="e">
        <f>(#REF!-#REF!)/1.2</f>
        <v>#REF!</v>
      </c>
      <c r="U149" s="111" t="e">
        <f>T149*1.2/#REF!</f>
        <v>#REF!</v>
      </c>
      <c r="V149" s="112">
        <v>1125.96</v>
      </c>
      <c r="W149" s="113" t="e">
        <f>V149*#REF!</f>
        <v>#REF!</v>
      </c>
      <c r="X149" s="114" t="e">
        <f>(W149/#REF!)-1</f>
        <v>#REF!</v>
      </c>
      <c r="Y149" s="115" t="e">
        <f>W149-#REF!</f>
        <v>#REF!</v>
      </c>
      <c r="Z149" s="114" t="e">
        <f>1-(#REF!/W149)</f>
        <v>#REF!</v>
      </c>
      <c r="AA149" s="137">
        <v>1294.8499999999999</v>
      </c>
      <c r="AB149" s="117" t="e">
        <f>AA149*#REF!</f>
        <v>#REF!</v>
      </c>
      <c r="AC149" s="118" t="e">
        <f>(AB149/#REF!)-1</f>
        <v>#REF!</v>
      </c>
      <c r="AD149" s="117" t="e">
        <f>AB149-#REF!</f>
        <v>#REF!</v>
      </c>
      <c r="AE149" s="155" t="e">
        <f>1-(#REF!/AB149)</f>
        <v>#REF!</v>
      </c>
      <c r="AF149" s="157" t="s">
        <v>674</v>
      </c>
      <c r="AG149" s="136" t="s">
        <v>510</v>
      </c>
      <c r="AH149" s="226" t="s">
        <v>518</v>
      </c>
      <c r="AI149" s="226">
        <v>160910</v>
      </c>
      <c r="AJ149" s="163"/>
    </row>
  </sheetData>
  <autoFilter ref="A1:AI149" xr:uid="{00000000-0009-0000-0000-000000000000}"/>
  <printOptions horizontalCentered="1"/>
  <pageMargins left="0.74803149606299202" right="0.74803149606299202" top="0.53" bottom="0.51" header="0.511811023622047" footer="0.511811023622047"/>
  <pageSetup paperSize="9" scale="97"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Прайс 16 система</vt:lpstr>
      <vt:lpstr>'Прайс 16 система'!Область_печати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Вячеслав</cp:lastModifiedBy>
  <cp:lastPrinted>2014-08-06T05:06:00Z</cp:lastPrinted>
  <dcterms:created xsi:type="dcterms:W3CDTF">2013-05-17T07:28:00Z</dcterms:created>
  <dcterms:modified xsi:type="dcterms:W3CDTF">2024-02-02T14:17:00Z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2052-11.1.0.12155</vt:lpwstr>
  </property>
  <property fmtid="{D5CDD505-2E9C-101B-9397-08002B2CF9AE}" pid="3" name="ICV">
    <vt:lpwstr>36B0D07CBA75407CA841B72B5F094BDF</vt:lpwstr>
  </property>
</Properties>
</file>