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Вячеслав\Desktop\Контур\Февраль\Обновление цен на крепеж на сайте Приварка\"/>
    </mc:Choice>
  </mc:AlternateContent>
  <xr:revisionPtr revIDLastSave="0" documentId="13_ncr:1_{355F2383-6C72-4F0E-ADE0-0986181CBAFB}" xr6:coauthVersionLast="37" xr6:coauthVersionMax="37" xr10:uidLastSave="{00000000-0000-0000-0000-000000000000}"/>
  <bookViews>
    <workbookView xWindow="0" yWindow="0" windowWidth="28800" windowHeight="11760" xr2:uid="{00000000-000D-0000-FFFF-FFFF00000000}"/>
  </bookViews>
  <sheets>
    <sheet name="Лист_1" sheetId="1" r:id="rId1"/>
  </sheets>
  <calcPr calcId="179021"/>
</workbook>
</file>

<file path=xl/calcChain.xml><?xml version="1.0" encoding="utf-8"?>
<calcChain xmlns="http://schemas.openxmlformats.org/spreadsheetml/2006/main"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7" i="1"/>
</calcChain>
</file>

<file path=xl/sharedStrings.xml><?xml version="1.0" encoding="utf-8"?>
<sst xmlns="http://schemas.openxmlformats.org/spreadsheetml/2006/main" count="1369" uniqueCount="747">
  <si>
    <t>Параметры:</t>
  </si>
  <si>
    <t>Период: 27.12.2024 0:00:00</t>
  </si>
  <si>
    <t>Вид цены: Розничная цена в Euro (курс ЦБ+10%)</t>
  </si>
  <si>
    <t>Отбор:</t>
  </si>
  <si>
    <t>Ссылка В группе из списка ""Клетьевая гайка"</t>
  </si>
  <si>
    <t>ID</t>
  </si>
  <si>
    <t>Артикул</t>
  </si>
  <si>
    <t>Рабочее наименование</t>
  </si>
  <si>
    <t>Наименование для печати</t>
  </si>
  <si>
    <t>Единица измерения</t>
  </si>
  <si>
    <t>Вес</t>
  </si>
  <si>
    <t>Код ТНВЭД</t>
  </si>
  <si>
    <t>Цена</t>
  </si>
  <si>
    <t>Для таможенного оформления</t>
  </si>
  <si>
    <t>Страна</t>
  </si>
  <si>
    <t>Остаток</t>
  </si>
  <si>
    <t>71168ae2-1aa4-42f2-8076-6e7f3572c825</t>
  </si>
  <si>
    <t>300140543</t>
  </si>
  <si>
    <t>Клетьевая гайка Klipko M4-ZI-053-16</t>
  </si>
  <si>
    <t>300140543 Клетьевая гайка Klipko M4-ZI-053-16</t>
  </si>
  <si>
    <t>100 шт</t>
  </si>
  <si>
    <t>9fbae1a3-e271-4db2-b110-435045fe285b</t>
  </si>
  <si>
    <t>300140601</t>
  </si>
  <si>
    <t>Клетьевая гайка Klipko M6-ZI-083-16</t>
  </si>
  <si>
    <t>300140601 Клетьевая гайка Klipko M6-ZI-083-16</t>
  </si>
  <si>
    <t>479f1a59-abc7-4b78-86bb-6c32b086d505</t>
  </si>
  <si>
    <t>CNU 45155 ZE</t>
  </si>
  <si>
    <t>CNU 45155 ZE МИНИМАЛЬНАЯ ПАРТИЯ ЗАКАЗА 2000 ШТ. СРОК ПОСТАВКИ 6-8 НЕДЕЛЬ.</t>
  </si>
  <si>
    <t>dbd90662-5ffb-43b2-b312-7a9360704054</t>
  </si>
  <si>
    <t>300152323</t>
  </si>
  <si>
    <t>Клетьевая гайка Klipko M5-ZI-067-25</t>
  </si>
  <si>
    <t>300152323 Клетьевая гайка Klipko M5-ZI-067-25</t>
  </si>
  <si>
    <t>ebe1a695-c47c-4b79-821c-4dd478d830e5</t>
  </si>
  <si>
    <t>300105090</t>
  </si>
  <si>
    <t>Клетьевая гайка Klipko M6-ZI-095-16</t>
  </si>
  <si>
    <t>300105090 Клетьевая гайка Klipko M6-ZI-095-16</t>
  </si>
  <si>
    <t>e565b378-d988-4deb-9ebb-4b26b2fd5fe8</t>
  </si>
  <si>
    <t>300105088</t>
  </si>
  <si>
    <t>Клетьевая гайка Klipko M5-ZI-095-16</t>
  </si>
  <si>
    <t>300105088 Клетьевая гайка Klipko M5-ZI-095-16</t>
  </si>
  <si>
    <t>31605ce8-84a7-42e0-a610-768eac1f69af</t>
  </si>
  <si>
    <t>300105091</t>
  </si>
  <si>
    <t>Клетьевая гайка Klipko M6-ZI-095-27</t>
  </si>
  <si>
    <t>300105091 Клетьевая гайка Klipko M6-ZI-095-27</t>
  </si>
  <si>
    <t>a74ec0c3-b994-4541-935f-2022ac27880e</t>
  </si>
  <si>
    <t>300120064</t>
  </si>
  <si>
    <t>Клетьевая гайка Klipko M5-ZI-083-25</t>
  </si>
  <si>
    <t>300120064 Клетьевая гайка Klipko M5-ZI-083-25</t>
  </si>
  <si>
    <t>0d360e36-170e-4505-84cc-217fd595899a</t>
  </si>
  <si>
    <t>300152325</t>
  </si>
  <si>
    <t>Клетьевая гайка Klipko M5-ZI-053-16</t>
  </si>
  <si>
    <t>300152325 Клетьевая гайка Klipko M5-ZI-053-16</t>
  </si>
  <si>
    <t>f36eb792-e6ab-40f9-a18a-b5a68408a1c1</t>
  </si>
  <si>
    <t>300105094</t>
  </si>
  <si>
    <t>Клетьевая гайка Klipko M10-ZI-123-32</t>
  </si>
  <si>
    <t>300105094 Клетьевая гайка Klipko M10-ZI-123-32</t>
  </si>
  <si>
    <t>0e83c2ec-2d9b-4423-b409-85e4ecbc5c57</t>
  </si>
  <si>
    <t>300151796</t>
  </si>
  <si>
    <t>Клетьевая гайка Klipko M8-R-123-55</t>
  </si>
  <si>
    <t>300151796 Клетьевая гайка Klipko M8-R-123-55. Клетка - нержавеющая сталь, гайка -сталь. Размер отверстия 12,3 мм. Для металла толщтной 4,8-5,5 мм.</t>
  </si>
  <si>
    <t>09463ad7-8aca-4a64-9e81-c13dd3456618</t>
  </si>
  <si>
    <t>300140602</t>
  </si>
  <si>
    <t>Клетьевая гайка Klipko M6-ZI-083-25</t>
  </si>
  <si>
    <t>300140602 Клетьевая гайка Klipko M6-ZI-083-25</t>
  </si>
  <si>
    <t>058eb125-d3f6-4006-9a31-9491151ff8a7</t>
  </si>
  <si>
    <t>300152320</t>
  </si>
  <si>
    <t>Клетьевая гайка Klipko M4-ZI-083-25</t>
  </si>
  <si>
    <t>300152320 Клетьевая гайка Klipko M4-ZI-083-25</t>
  </si>
  <si>
    <t>86e630a8-d8d3-45d6-9388-a9caaa957c2b</t>
  </si>
  <si>
    <t>300152273</t>
  </si>
  <si>
    <t>Клетьевая гайка Klipko M6-ZI-083-35</t>
  </si>
  <si>
    <t>300152273 Клетьевая гайка Klipko M6-ZI-083-35</t>
  </si>
  <si>
    <t>277045c9-a052-4c6a-a2c1-4e22cb96efee</t>
  </si>
  <si>
    <t>300140540</t>
  </si>
  <si>
    <t>Клетьевая гайка Klipko M3-ZI-053-16</t>
  </si>
  <si>
    <t>300140540 Клетьевая гайка Klipko M3-ZI-053-16</t>
  </si>
  <si>
    <t>ff36d597-d064-11e3-b077-001e6754e0a7</t>
  </si>
  <si>
    <t>FX70955BB</t>
  </si>
  <si>
    <t>Гайка М5 закладная SMG 955 B, квадрат 9,5 мм, толщина 1,7-2,7 мм</t>
  </si>
  <si>
    <t>FX70955B Гайка закладная М5 SMG 955 B отверстие в металле 9,5х9,5 мм., толщина 1,7-2,7 мм</t>
  </si>
  <si>
    <t>1000 шт</t>
  </si>
  <si>
    <t>07f7e7ed-61a3-11e3-aa0b-001e6754e0a7</t>
  </si>
  <si>
    <t>FX70956BBE</t>
  </si>
  <si>
    <t>Гайка М6 закладная SMG 956 B, квадрат 9,5 мм, толщина 1,7-2,7 мм</t>
  </si>
  <si>
    <t>FX70956BBE Гайка закладная М6 SMG 956 B отверстие в металле 9,5 х 9,5 мм., толщина 1,7-2,7 мм</t>
  </si>
  <si>
    <t>Гайка резьбовая М6</t>
  </si>
  <si>
    <t>6be4d483-d065-11e3-b077-001e6754e0a7</t>
  </si>
  <si>
    <t>FX71238BB</t>
  </si>
  <si>
    <t>Гайка М8 закладная SMG 1238 B, квадрат 12,3 мм, толщина 1,8-3,2 мм</t>
  </si>
  <si>
    <t>FX1238BB Гайка закладная М8 SMG 1238 B отверстие в металле 12,3х12,3 мм., толщина 1,8-3,2 мм</t>
  </si>
  <si>
    <t>67f242ce-db60-11e3-b077-001e6754e0a7</t>
  </si>
  <si>
    <t>SMG 533 B</t>
  </si>
  <si>
    <t>Гайка М3 закладная SMG 533 B, квадрат 5,3 мм, толщина 1,0-1,6 мм</t>
  </si>
  <si>
    <t>Гайка закладная M3 SMG 533 B отверстие в металле 5,3х5,3 мм., толщина 1,0-1,6 мм.</t>
  </si>
  <si>
    <t>dc5f0d23-dcf5-11e3-b077-001e6754e0a7</t>
  </si>
  <si>
    <t>SMG 955 C</t>
  </si>
  <si>
    <t>Гайка М5 закладная SMG 955 C, квадрат 9,5 мм, толщина 2,7-3,5 мм</t>
  </si>
  <si>
    <t>Гайка закладная М5 SMG 955 C отверстие в металле 9,5х9,5 мм., толщина 2,7-3,5 мм.</t>
  </si>
  <si>
    <t>e8cfe977-dcf6-11e3-b077-001e6754e0a7</t>
  </si>
  <si>
    <t>SMG 1238 D</t>
  </si>
  <si>
    <t>Гайка М8 закладная SMG 1238 D, квадрат 12,3 мм, толщина 4,8-5,5 мм</t>
  </si>
  <si>
    <t>Гайка закладная М8 SMG 1238 D отверстие в металле 12,3х12,3 мм., толщина 4,8-5,5 мм.</t>
  </si>
  <si>
    <t>1cff234e-db61-11e3-b077-001e6754e0a7</t>
  </si>
  <si>
    <t>SMG 534 A</t>
  </si>
  <si>
    <t>Гайка М4 закладная SMG 534 A, квадрат 5,3 мм, толщина 0,3-0,9 мм</t>
  </si>
  <si>
    <t>Гайка закладная M4 SMG 534 A отверстие в металле 5,3х5,3 мм., толщина 0,3-0,9 мм.</t>
  </si>
  <si>
    <t>03617cee-db6f-11e3-b077-001e6754e0a7</t>
  </si>
  <si>
    <t>SMG 534 D</t>
  </si>
  <si>
    <t>Гайка М4 закладная SMG 534 D, квадрат 5,3 мм, толщина 2,4-3,1 мм</t>
  </si>
  <si>
    <t>Гайка закладная M4 SMG 534 D B отверстие в металле 5,3х5,3 мм., толщина 2,4-3,1 мм.</t>
  </si>
  <si>
    <t>8d34d5ce-db60-11e3-b077-001e6754e0a7</t>
  </si>
  <si>
    <t>FX70533D</t>
  </si>
  <si>
    <t>Гайка М3 закладная SMG 533 D, квадрат 5,3 мм, толщина 2,4-3,1 мм</t>
  </si>
  <si>
    <t>FX70533D Гайка закладная M3 SMG 533 D отверстие в металле 5,3х5,3 мм., толщина 2,4-3,1 мм</t>
  </si>
  <si>
    <t>234072cf-dcf5-11e3-b077-001e6754e0a7</t>
  </si>
  <si>
    <t>SMG 835 C</t>
  </si>
  <si>
    <t>Гайка М5 закладная SMG 835 C, квадрат 8,3 мм, толщина 2,6-3,5 мм</t>
  </si>
  <si>
    <t>Гайка М5 закладная  SMG 835 C отверстие в металле 8,3х8,3 мм., толщина 2,6-3,5 мм.</t>
  </si>
  <si>
    <t>0e8b7b6f-d065-11e3-b077-001e6754e0a7</t>
  </si>
  <si>
    <t>FX70955ABE</t>
  </si>
  <si>
    <t>Гайка М5 закладная SMG 955 A, квадрат 9,5 мм, толщина 0,7-1,6 мм</t>
  </si>
  <si>
    <t>FX70955ABE Гайка закладная М5 SMG 955 A отверстие в металле 9,5х9,5 мм., толщина 0,7-1,6 мм</t>
  </si>
  <si>
    <t>f30207a5-dcda-11e3-b077-001e6754e0a7</t>
  </si>
  <si>
    <t>SMG 674 B</t>
  </si>
  <si>
    <t>Гайка М4 закладная SMG 674 B, квадрат 6,7 мм, толщина 1,7-2,6 мм</t>
  </si>
  <si>
    <t>Гайка закладная M4 SMG 674 B отверстие в металле 6,7х6,7 мм., толщина 1,7-2,6 мм.</t>
  </si>
  <si>
    <t>2db8aef6-dcf7-11e3-b077-001e6754e0a7</t>
  </si>
  <si>
    <t>SMG 1231 A</t>
  </si>
  <si>
    <t>Гайка М10 закладная SMG 1231 A, квадрат 12,3 мм, толщина 1,0-1,7 мм</t>
  </si>
  <si>
    <t>Гайка закладная М10 SMG 1231 A отверстие в металле 12,3х12,3 мм., толщина 1,0-1,7 мм.</t>
  </si>
  <si>
    <t>5733ff9c-dcf6-11e3-b077-001e6754e0a7</t>
  </si>
  <si>
    <t>SMG 1236 D</t>
  </si>
  <si>
    <t>Гайка М6 закладная SMG 1236 D, квадрат 12,3 мм, толщина 4,8-5,5 мм</t>
  </si>
  <si>
    <t>Гайка закладная М6 SMG 1236 D отверстие в металле 12,3х12,3 мм., толщина 4,8-5,5 мм.</t>
  </si>
  <si>
    <t>3f6fbe6c-dcf7-11e3-b077-001e6754e0a7</t>
  </si>
  <si>
    <t>SMG 1231 B</t>
  </si>
  <si>
    <t>Гайка М10 закладная SMG 1231 B, квадрат 12,3 мм, толщина 1,8-3,2 мм</t>
  </si>
  <si>
    <t>Гайка закладная М10 SMG 1231 B отверстие в металле 12,3х12,3 мм., толщина 1,8-3,2 мм.</t>
  </si>
  <si>
    <t>10962bed-dcf6-11e3-b077-001e6754e0a7</t>
  </si>
  <si>
    <t>SMG 1236 A</t>
  </si>
  <si>
    <t>Гайка М6 закладная SMG 1236 A, квадрат 12,3 мм, толщина 1,0-1,7 мм</t>
  </si>
  <si>
    <t>Гайка закладная М6 SMG 1236 A отверстие в металле 12,3х12,3 мм., толщина 1,0-1,7 мм.</t>
  </si>
  <si>
    <t>d983f66a-dcf6-11e3-b077-001e6754e0a7</t>
  </si>
  <si>
    <t>SMG 1238 C</t>
  </si>
  <si>
    <t>Гайка М8 закладная SMG 1238 C, квадрат 12,3 мм, толщина 3,3-4,7 мм</t>
  </si>
  <si>
    <t>Гайка закладная М8 SMG 1238 C отверстие в металле 12,3х12,3 мм., толщина 3,3-4,7 мм.</t>
  </si>
  <si>
    <t>b45b3b1b-437c-11e6-879c-001e6754e0a4</t>
  </si>
  <si>
    <t>FX70836CB</t>
  </si>
  <si>
    <t>Гайка М6 закладная SMG 836 C, квадрат 8,3 мм*8,3 мм</t>
  </si>
  <si>
    <t>1d81cd59-f190-11e5-a42d-001e6754e0a4</t>
  </si>
  <si>
    <t>EPFX70534BX</t>
  </si>
  <si>
    <t>Гайка М4 закладная SMG 534 B, квадрат 5,3 мм, толщина 1,0-1,6 мм, сталь нержавеющая.</t>
  </si>
  <si>
    <t>Гайка М4 закладная SMG 534 B, квадрат 5,3 мм, толщина 1,0-1,6 мм, сталь нержавеющая (минимальная партия 5000 шт)</t>
  </si>
  <si>
    <t>61490089-dcdb-11e3-b077-001e6754e0a7</t>
  </si>
  <si>
    <t>SMG 8340</t>
  </si>
  <si>
    <t>Гайка М4 закладная SMG 8340, квадрат 8,3 мм, толщина 0,3-1,1 мм</t>
  </si>
  <si>
    <t>Гайка М4 закладная  SMG 8340 отверстие в металле 8,3х8,3 мм., толщина 0,3-1,1 мм.</t>
  </si>
  <si>
    <t>a9b9bc32-dcf5-11e3-b077-001e6754e0a7</t>
  </si>
  <si>
    <t>SMG 954 A</t>
  </si>
  <si>
    <t>Гайка М4 закладная SMG 954 A, квадрат 9,5 мм, толщина 0,7-1,6 мм</t>
  </si>
  <si>
    <t>Гайка закладная М4 SMG 954 A отверстие в металле 9,5х9,5 мм., толщина 0,7-1,6 мм.</t>
  </si>
  <si>
    <t>e2374d31-d064-11e3-b077-001e6754e0a7</t>
  </si>
  <si>
    <t>FX70954BBE</t>
  </si>
  <si>
    <t>Гайка М4 закладная SMG 954 B, квадрат 9,5 мм, толщина 1,7-2,7 мм</t>
  </si>
  <si>
    <t>FX70954BBE Гайка закладная М4 SMG 954 B отверстие в металле 9,5х9,5 мм., толщина 1,7-2,7 мм</t>
  </si>
  <si>
    <t>Гайка резьбовая М4</t>
  </si>
  <si>
    <t>8e7d4e72-0dde-11e5-a12f-001e6754e0a4</t>
  </si>
  <si>
    <t>SMG 813,6 G</t>
  </si>
  <si>
    <t>Гайка закладная SMG 813,6 G</t>
  </si>
  <si>
    <t>Гайка закладная</t>
  </si>
  <si>
    <t>7a2253ee-db60-11e3-b077-001e6754e0a7</t>
  </si>
  <si>
    <t>SMG 533 C</t>
  </si>
  <si>
    <t>Гайка М3 закладная SMG 533 C, квадрат 5,3 мм, толщина 1,7-2,3 мм</t>
  </si>
  <si>
    <t>Гайка закладная M3 SMG 533 C отверстие в металле 5,3х5,3 мм., толщина 1,7-2,3 мм.</t>
  </si>
  <si>
    <t>2aaa95ff-dcdb-11e3-b077-001e6754e0a7</t>
  </si>
  <si>
    <t>SMG 675 B</t>
  </si>
  <si>
    <t>Гайка М5 закладная SMG 675 B, квадрат 6,7 мм, толщина 1,7-2,6 мм</t>
  </si>
  <si>
    <t>Гайка закладная M5 SMG 675 B отверстие в металле 6,7х6,7 мм., толщина 1,7-2,6 мм.</t>
  </si>
  <si>
    <t>56e315fc-dcf5-11e3-b077-001e6754e0a7</t>
  </si>
  <si>
    <t>SMG 8360</t>
  </si>
  <si>
    <t>Гайка М6 закладная SMG 8360, квадрат 8,3 мм, толщина 0,3-1,1 мм</t>
  </si>
  <si>
    <t>Гайка закладная М6 SMG 8360 отверстие в металле 8,3х8,3 мм., толщина 0,3-1,1 мм.</t>
  </si>
  <si>
    <t>8d388ec8-dcf5-11e3-b077-001e6754e0a7</t>
  </si>
  <si>
    <t>SMG 836 D</t>
  </si>
  <si>
    <t>Гайка М6 закладная SMG 836 D, квадрат 8,3 мм, толщина 3,6-4,5 мм</t>
  </si>
  <si>
    <t>Гайка закладная М6 SMG 836 D отверстие в металле 8,3х8,3 мм., толщина 3,6-4,5 мм.</t>
  </si>
  <si>
    <t>212cc968-f18f-11e5-a42d-001e6754e0a4</t>
  </si>
  <si>
    <t>EPFX70675AX</t>
  </si>
  <si>
    <t>Гайка М5 закладная SMG 675 A, квадрат 6,7 мм, толщина 0,7-1,6 мм, сталь нержавеющая</t>
  </si>
  <si>
    <t>Гайка М5 закладная SMG 675 A, квадрат 6,7 мм, толщина 0,7-1,6 мм, сталь нержавеющая (минимальная партия 5000 шт.)</t>
  </si>
  <si>
    <t>8c981426-dcdb-11e3-b077-001e6754e0a7</t>
  </si>
  <si>
    <t>SMG 834 C</t>
  </si>
  <si>
    <t>Гайка М4 закладная SMG 834 C, квадрат 8,3 мм, толщина 2,6-3,5 мм</t>
  </si>
  <si>
    <t>Гайка М4 закладная  SMG 834 C отверстие в металле 8,3х8,3 мм., толщина 2,6-3,5 мм.</t>
  </si>
  <si>
    <t>65616461-dcf7-11e3-b077-001e6754e0a7</t>
  </si>
  <si>
    <t>SMG 1231 D</t>
  </si>
  <si>
    <t>Гайка М10 закладная SMG 1231 D, квадрат 12,3 мм, толщина 4,8-5,5 мм</t>
  </si>
  <si>
    <t>Гайка закладная М10 SMG 1231 D отверстие в металле 12,3х12,3 мм., толщина 4,8-5,5 мм.</t>
  </si>
  <si>
    <t>31f995e6-c6f4-11e3-b077-001e6754e0a7</t>
  </si>
  <si>
    <t>FX70834BBE</t>
  </si>
  <si>
    <t>Гайка М4 закладная SMG 834 B, квадрат 8,3 мм, толщина 1,7-2,5 мм</t>
  </si>
  <si>
    <t>FX70834B Гайка М4 закладная  SMG 834 B отверстие в металле 8,3х8,3 мм., толщина 1,7-2,5 мм.</t>
  </si>
  <si>
    <t>0b2da138-dcdb-11e3-b077-001e6754e0a7</t>
  </si>
  <si>
    <t>FX70675AB</t>
  </si>
  <si>
    <t>Гайка М5 закладная SMG 675 A, квадрат 6,7 мм, толщина 0,7-1,6 мм</t>
  </si>
  <si>
    <t>Гайка закладная M5 SMG 675 A отверстие в металле 6,7х6,7 мм., толщина 0,7-1,6 мм.</t>
  </si>
  <si>
    <t>254224c4-dcf6-11e3-b077-001e6754e0a7</t>
  </si>
  <si>
    <t>SMG 1236 C</t>
  </si>
  <si>
    <t>Гайка М6 закладная SMG 1236 C, квадрат 12,3 мм, толщина 3,3-4,7 мм</t>
  </si>
  <si>
    <t>Гайка закладная М6 SMG 1236 C отверстие в металле 12,3х12,3 мм., толщина 3,3-4,7 мм.</t>
  </si>
  <si>
    <t>d950ae78-dcda-11e3-b077-001e6754e0a7</t>
  </si>
  <si>
    <t>SMG 674 A</t>
  </si>
  <si>
    <t>Гайка М4 закладная SMG 674 A, квадрат 6,7 мм, толщина 0,7-1,6 мм</t>
  </si>
  <si>
    <t>Гайка закладная M4 SMG 674 A отверстие в металле 6,7х6,7 мм., толщина 0,7-1,6 мм.</t>
  </si>
  <si>
    <t>c8784687-dcf6-11e3-b077-001e6754e0a7</t>
  </si>
  <si>
    <t>SMG 1238 A</t>
  </si>
  <si>
    <t>Гайка М8 закладная SMG 1238 A, квадрат 12,3 мм, толщина 1,0-1,7 мм</t>
  </si>
  <si>
    <t>Гайка закладная М8 SMG 1238 A отверстие в металле 12,3х12,3 мм., толщина 1,0-1,7 мм.</t>
  </si>
  <si>
    <t>55504788-dcf7-11e3-b077-001e6754e0a7</t>
  </si>
  <si>
    <t>SMG 1231 C</t>
  </si>
  <si>
    <t>Гайка М10 закладная SMG 1231 C, квадрат 12,3 мм, толщина 3,3-4,7 мм</t>
  </si>
  <si>
    <t>Гайка закладная М10 SMG 1231 C отверстие в металле 12,3х12,3 мм., толщина 3,3-4,7 мм.</t>
  </si>
  <si>
    <t>be06f0cb-dcf5-11e3-b077-001e6754e0a7</t>
  </si>
  <si>
    <t>SMG 954 C</t>
  </si>
  <si>
    <t>Гайка М4 закладная SMG 954 C, квадрат 9,5 мм, толщина 2,7-3,5 мм</t>
  </si>
  <si>
    <t>Гайка закладная М4 SMG 954 C отверстие в металле 9,5х9,5 мм., толщина 2,7-3,5 мм.</t>
  </si>
  <si>
    <t>12730604-dcf5-11e3-b077-001e6754e0a7</t>
  </si>
  <si>
    <t>FX70835AB</t>
  </si>
  <si>
    <t>Гайка М5 закладная SMG 835 A, квадрат 8,3 мм, толщина 1,2-1,6 мм</t>
  </si>
  <si>
    <t>FX70835AB Гайка М5 закладная  SMG 835 A отверстие в металле 8,3х8,3 мм., толщина 1,2-1,6 мм</t>
  </si>
  <si>
    <t>ca9d6c8d-61a2-11e3-aa0b-001e6754e0a7</t>
  </si>
  <si>
    <t>FX70835BBE</t>
  </si>
  <si>
    <t>Гайка М5 закладная SMG 835 B, квадрат 8,3 мм, толщина 1,7-2,5 мм</t>
  </si>
  <si>
    <t>FX70835BB Гайка М5 закладная  SMG 835 B отверстие в металле 8,3х8,3 мм., толщина 1,7-2,5 мм</t>
  </si>
  <si>
    <t>7318169109</t>
  </si>
  <si>
    <t>Гайка резьбовая М5</t>
  </si>
  <si>
    <t>50fc1e1e-db60-11e3-b077-001e6754e0a7</t>
  </si>
  <si>
    <t>SMG 533 A</t>
  </si>
  <si>
    <t>Гайка М3 закладная SMG 533 A, квадрат 5,3 мм, толщина 0,3-0,9 мм</t>
  </si>
  <si>
    <t>Гайка закладная M3 SMG 533 A отверстие в металле 5,3х5,3 мм., толщина 0,3-0,9 мм.</t>
  </si>
  <si>
    <t>f1a1449e-db6e-11e3-b077-001e6754e0a7</t>
  </si>
  <si>
    <t>SMG 534 C</t>
  </si>
  <si>
    <t>Гайка М4 закладная SMG 534 C, квадрат 5,3 мм, толщина 1,7-2,3 мм</t>
  </si>
  <si>
    <t>Гайка закладная M4 SMG 534 C B отверстие в металле 5,3х5,3 мм., толщина 1,7-2,3 мм.</t>
  </si>
  <si>
    <t>358d848c-dcf5-11e3-b077-001e6754e0a7</t>
  </si>
  <si>
    <t>SMG 835 D</t>
  </si>
  <si>
    <t>Гайка М5 закладная SMG 835 D, квадрат 8,3 мм, толщина 3,6-4,5 мм</t>
  </si>
  <si>
    <t>Гайка М5 закладная  SMG 835 D отверстие в металле 8,3х8,3 мм., толщина 3,6-4,5 мм.</t>
  </si>
  <si>
    <t>7e403c1f-dcf5-11e3-b077-001e6754e0a7</t>
  </si>
  <si>
    <t>SMG 836 C</t>
  </si>
  <si>
    <t>Гайка М6 закладная SMG 836 C, квадрат 8,3 мм, толщина 2,6-3,5 мм</t>
  </si>
  <si>
    <t>Гайка закладная М6 SMG 836 C отверстие в металле 8,3х8,3 мм., толщина 2,6-3,5 мм.</t>
  </si>
  <si>
    <t>8a8b2f1f-dcf4-11e3-b077-001e6754e0a7</t>
  </si>
  <si>
    <t>SMG 8350</t>
  </si>
  <si>
    <t>Гайка М5 закладная SMG 8350, квадрат 8,3 мм, толщина 0,3-1,1 мм</t>
  </si>
  <si>
    <t>Гайка М5 закладная  SMG 8350 отверстие в металле 8,3х8,3 мм., толщина 0,3-1,1 мм.</t>
  </si>
  <si>
    <t>32792f4e-db61-11e3-b077-001e6754e0a7</t>
  </si>
  <si>
    <t>SMG 534 B</t>
  </si>
  <si>
    <t>Гайка М4 закладная SMG 534 B, квадрат 5,3 мм, толщина 1,0-1,6 мм</t>
  </si>
  <si>
    <t>Гайка закладная M4 SMG 534 B отверстие в металле 5,3х5,3 мм., толщина 1,0-1,6 мм.</t>
  </si>
  <si>
    <t>0af82d92-0dde-11e5-a12f-001e6754e0a4</t>
  </si>
  <si>
    <t>SMG 813,5 G</t>
  </si>
  <si>
    <t>Гайка закладная SMG 813,5 G</t>
  </si>
  <si>
    <t>3499359a-d065-11e3-b077-001e6754e0a7</t>
  </si>
  <si>
    <t>FX70956CB</t>
  </si>
  <si>
    <t>Гайка М6 закладная SMG 956 C, квадрат 9,5 мм, толщина 2,7-3,5 мм</t>
  </si>
  <si>
    <t>FX70956CB Гайка закладная М6 SMG 956 C отверстие в металле 9,5х9,5 мм., толщина 2,7-3,5 мм</t>
  </si>
  <si>
    <t>51f70d0b-d065-11e3-b077-001e6754e0a7</t>
  </si>
  <si>
    <t>FX1236BB</t>
  </si>
  <si>
    <t>Гайка М6 закладная SMG 1236 B, квадрат 12,3 мм, толщина 1,8-3,2 мм</t>
  </si>
  <si>
    <t>FX1236BB Гайка закладная М6 SMG 1236 B отверстие в металле 12,3х12,3 мм., толщина 1,8-3,2 мм</t>
  </si>
  <si>
    <t>97dfe9e2-d455-11e3-b077-001e6754e0a7</t>
  </si>
  <si>
    <t>FX70956AB</t>
  </si>
  <si>
    <t>Гайка М6 закладная SMG 956 A, квадрат 9,5 мм, толщина 0,7-1,6 мм</t>
  </si>
  <si>
    <t>FX70956AB Гайка закладная М6 SMG 956 A отверстие в металле 9,5х9,5 мм., толщина 0,7-1,6 мм</t>
  </si>
  <si>
    <t>9fc32f82-dcdb-11e3-b077-001e6754e0a7</t>
  </si>
  <si>
    <t>SMG 834 D</t>
  </si>
  <si>
    <t>Гайка М4 закладная SMG 834 D, квадрат 8,3 мм, толщина 3,6-4,5 мм</t>
  </si>
  <si>
    <t>Гайка М4 закладная  SMG 834 D отверстие в металле 8,3х8,3 мм., толщина 3,6-4,5 мм.</t>
  </si>
  <si>
    <t>84ce548d-61a2-11e3-aa0b-001e6754e0a7</t>
  </si>
  <si>
    <t>FX70836BBE</t>
  </si>
  <si>
    <t>Гайка М6 закладная SMG 836 B, квадрат 8,3 мм, толщина 1,7-2,5 мм</t>
  </si>
  <si>
    <t>FX70836BB Гайка закладная М6 SMG 836 B отверстие в металле 8,3х8,3 мм., толщина 1,7-2,5 мм</t>
  </si>
  <si>
    <t>6d6b2e02-dcf5-11e3-b077-001e6754e0a7</t>
  </si>
  <si>
    <t>FX70836AB</t>
  </si>
  <si>
    <t>Гайка М6 закладная SMG 836 A, квадрат 8,3 мм, толщина 1,2-1,6 мм</t>
  </si>
  <si>
    <t>Гайка закладная М6 SMG 836 A отверстие в металле 8,3х8,3 мм., толщина 1,2-1,6 мм.</t>
  </si>
  <si>
    <t>78fd9250-dcdb-11e3-b077-001e6754e0a7</t>
  </si>
  <si>
    <t>FX70834AB</t>
  </si>
  <si>
    <t>Гайка М4 закладная SMG 834 A, квадрат 8,3 мм, толщина 1,2-1,6 мм</t>
  </si>
  <si>
    <t>Гайка М4 закладная  SMG 834 A отверстие в металле 8,3х8,3 мм., толщина 1,2-1,6 мм</t>
  </si>
  <si>
    <t>3b5121bd-df7f-11e9-affe-001e6754e0a5</t>
  </si>
  <si>
    <t>836-D</t>
  </si>
  <si>
    <t>Гайка М6 закладная SMG 836-D, квадрат 8,3 мм, толщина 3,6 - 4,5 мм</t>
  </si>
  <si>
    <t>Гайка М6 закладная SMG 836-D, квадрат 8,3 мм, для установки в металл толщиной 3,6 - 4,5 мм</t>
  </si>
  <si>
    <t>Гайка резьбовая М 6 сталь оцинкованная</t>
  </si>
  <si>
    <t>ИТАЛИЯ</t>
  </si>
  <si>
    <t>ffa26073-6658-11e9-a29e-001e6754e0a5</t>
  </si>
  <si>
    <t>954-A</t>
  </si>
  <si>
    <t>Гайка М4 закладная SMG 954-A, квадрат 9,5 мм, толщина 0,7 - 1,6 мм</t>
  </si>
  <si>
    <t>Гайка М4 закладная SMG 954-A, квадрат 9,5 мм, для установки в металл толщиной 0,7 - 1,6 мм</t>
  </si>
  <si>
    <t>Гайка резьбовая М4 стальная оцинкованная</t>
  </si>
  <si>
    <t>a77c287b-4a07-11e9-86df-001e6754e0a5</t>
  </si>
  <si>
    <t>DG6116BTI</t>
  </si>
  <si>
    <t>Гайка М6 закладная ИЗ НЕРЖАВЕЮЩЕЙ СТАЛИ SMG 956-B, квадрат 9,5 мм, толщина 1,7 - 2,6 мм КРАТНО 1000ш</t>
  </si>
  <si>
    <t>Гайка М6 закладная ИЗ НЕРЖАВЕЮЩЕЙ СТАЛИ SMG 956-B, квадрат 9,5 мм, для установки в металл толщиной 1,7 - 2,7 мм (КРАТНО 1000шт.)</t>
  </si>
  <si>
    <t>Гайка резьбовая М 6 сталь нержавеющая</t>
  </si>
  <si>
    <t>341b9458-ea70-11ee-bfa3-001e6754e0a5</t>
  </si>
  <si>
    <t>DG6116ATI</t>
  </si>
  <si>
    <t>Гайка М6 закладная ИЗ НЕРЖАВЕЮЩЕЙ СТАЛИ SMG 6116-A квадрат 9,5 мм, толщина 0,7 - 1,6 мм КРАТНО 1000ш</t>
  </si>
  <si>
    <t>Гайка М6 закладная Полностью ИЗ НЕРЖАВЕЮЩЕЙ СТАЛИ SMG 6116-A квадрат 9,5 мм, толщина 0,7 - 1,6 мм КРАТНО 1000ш</t>
  </si>
  <si>
    <t>d36b8f9d-2228-11ee-aa65-001e6754e0a5</t>
  </si>
  <si>
    <t>DG6104ATI клеть-нерж гайка-нерж</t>
  </si>
  <si>
    <t>Гайка М4 закладная DG6104ATI, квадрат 6,7 мм, толщина 0,7 - 1,6  мм, клеть-нерж гайка-нерж</t>
  </si>
  <si>
    <t>7318163009</t>
  </si>
  <si>
    <t>Гайка М6 сталь нержавеющая ARTAFAST</t>
  </si>
  <si>
    <t>73e86759-0a4d-11ec-bbd1-001e6754e0a5</t>
  </si>
  <si>
    <t>6105-A сталь нержавеющая DG6105ATI</t>
  </si>
  <si>
    <t>Гайка М5 закладная DG6105ATI, квадрат 6,7 мм, толщина 0.7 - 1,6  мм, сталь нержавеющая</t>
  </si>
  <si>
    <t>Гайка М5 закладная DG6105ATI, квадрат 6,7 мм, толщина 0.7 - 1,6  мм, сталь нержавеющая / DADI IN GABBIA 6105 A TUTTO INOX</t>
  </si>
  <si>
    <t>Гайка М5 сталь нержавеющая</t>
  </si>
  <si>
    <t>9c7fd8e1-4782-11ec-8fdd-001e6754e0a5</t>
  </si>
  <si>
    <t>1236BXX сталь нержавеющая</t>
  </si>
  <si>
    <t>Гайка М6 закладная 1236BXX, квадрат 12,3 мм, толщина 1.8 - 3,2  мм, сталь нержавеющая</t>
  </si>
  <si>
    <t>Гайка М6 закладная 1236BXX, квадрат 12,3 мм, толщина 1.8 - 3,2  мм, сталь нержавеющая</t>
  </si>
  <si>
    <t>0e060acd-514c-11e9-86df-001e6754e0a5</t>
  </si>
  <si>
    <t>5114-O сталь нержавеющая DG5114ATI</t>
  </si>
  <si>
    <t>Гайка М4 закладная DG5114-О TI, квадрат 8,3 мм, толщина 0.3 - 1,1  мм, сталь нержавеющая</t>
  </si>
  <si>
    <t>Гайка М4 сталь нержавеющая</t>
  </si>
  <si>
    <t>3d3ca4e5-514c-11e9-86df-001e6754e0a5</t>
  </si>
  <si>
    <t>5115-O TI / 835-0-XX сталь нержавеющая DG5115ATI</t>
  </si>
  <si>
    <t>Гайка М5 закладная DG5115-O TI / 835-0-XX , квадрат 8,3 мм, толщина 0.3 - 1,1  мм, сталь нержавеющая</t>
  </si>
  <si>
    <t>Гайка резьбовая М 5 сталь нержавеющая</t>
  </si>
  <si>
    <t>762f92d3-514c-11e9-86df-001e6754e0a5</t>
  </si>
  <si>
    <t>5115-B / 835BXX сталь нержавеющая DG5115BTI</t>
  </si>
  <si>
    <t>Гайка М5 закладная DG5115-B TI / 835BXX  квадрат 8,3 мм, толщина 1.7 - 2,5  мм, сталь нержавеющая</t>
  </si>
  <si>
    <t>Гайка М5 закладная DG5115-B TI, / 835BXX , квадрат 8,3 мм, толщина 1.7 - 2,5  мм, сталь нержавеющая</t>
  </si>
  <si>
    <t>9b6544e3-514c-11e9-86df-001e6754e0a5</t>
  </si>
  <si>
    <t>5115-C сталь нержавеющая DG5115ATI</t>
  </si>
  <si>
    <t>Гайка М5 закладная DG5115-C TI, квадрат 8,3 мм, толщина 2.6 - 3,5  мм, сталь нержавеющая</t>
  </si>
  <si>
    <t>f1f545dc-1b65-11e6-9f26-001e6754e0a4</t>
  </si>
  <si>
    <t>1231-A</t>
  </si>
  <si>
    <t>Гайка М10 закладная SMG 1231-A, квадрат 12,3 мм, толщина 0,7 - 1,7 мм</t>
  </si>
  <si>
    <t>Гайка М10 закладная SMG 1231-A, квадрат 12,3 мм, для установки в металл толщиной 0,7 - 1,7 мм</t>
  </si>
  <si>
    <t>7318169900</t>
  </si>
  <si>
    <t>Гайка резьбовая М 10 сталь оцинкованная</t>
  </si>
  <si>
    <t>4d603b87-9e04-11ed-9758-001e6754e0a5</t>
  </si>
  <si>
    <t>М6  BUT-316 C</t>
  </si>
  <si>
    <t>Гайка закладная пружинная М6  BUT-316 C</t>
  </si>
  <si>
    <t>Гайка закладная пружинная М6</t>
  </si>
  <si>
    <t>7f23f097-11ec-11eb-a7b8-001e6754e0a5</t>
  </si>
  <si>
    <t>955-AS</t>
  </si>
  <si>
    <t>Гайка М5 закладная SMG 955-AS, квадрат 9,5 мм, толщина 0,7 - 1,6 мм</t>
  </si>
  <si>
    <t>Гайка М5 закладная SMG 955-AS, квадрат 9,5 мм, для установки в металл толщиной 0,7 - 1,6 мм</t>
  </si>
  <si>
    <t>Гайка резьбовая М 5 сталь оцинкованная</t>
  </si>
  <si>
    <t>6d7f2185-04b0-11eb-a7c7-001e6754e0a5</t>
  </si>
  <si>
    <t>DG6116A</t>
  </si>
  <si>
    <t>Гайка М6 закладная SMG 956-A, квадрат 9,5 мм, толщина 0,7 - 1,6 мм КЛЕТЬ - НЕРЖ. СТ., ГАЙКА - СТАЛЬ</t>
  </si>
  <si>
    <t>Гайка М6 закладная SMG 956-A, квадрат 9,5 мм, толщина 0,7 - 1,6 мм КЛЕТЬ - НЕРЖ. СТАЛЬ, ГАЙКА - СТАЛЬ ОЦИНКОВАННАЯ</t>
  </si>
  <si>
    <t>ebff4c8d-1b5f-11e6-9f26-001e6754e0a4</t>
  </si>
  <si>
    <t>955-C</t>
  </si>
  <si>
    <t>Гайка М5 закладная SMG 955-C, квадрат 9,5 мм, толщина 2,7 - 3,5 мм</t>
  </si>
  <si>
    <t>Гайка М5 закладная SMG 955-C, квадрат 9,5 мм, для установки в металл толщиной 2,7 - 3,5 мм</t>
  </si>
  <si>
    <t>Гайка резьбовая М 5 сталь оцинкованная</t>
  </si>
  <si>
    <t>5a22b6ec-570e-11eb-a28a-001e6754e0a5</t>
  </si>
  <si>
    <t>1410-D</t>
  </si>
  <si>
    <t>Гайка М10 закладная SMG 1410-D, квадрат 14,0 мм, толщина 4,8 - 6,2 мм</t>
  </si>
  <si>
    <t>Гайка М10 закладная SMG 1410-D, квадрат 14,0 мм, для установки в металл толщиной 4,8 - 6,2 мм</t>
  </si>
  <si>
    <t>02d075ce-6e7f-11ea-9a7e-001e6754e0a5</t>
  </si>
  <si>
    <t>BUT-316P</t>
  </si>
  <si>
    <t>Гайка закладная пружинная BUT 316P</t>
  </si>
  <si>
    <t>Гайка резьбовая М 4 сталь оцинкованная</t>
  </si>
  <si>
    <t>136876cc-1b65-11e6-9f26-001e6754e0a4</t>
  </si>
  <si>
    <t>1238-AS*</t>
  </si>
  <si>
    <t>Гайка М8 закладная SMG 1238-AS*, квадрат 12,3 мм, толщина 0,7 - 1,7 мм</t>
  </si>
  <si>
    <t>Гайка М8 закладная SMG 1238-AS*, квадрат 12,3 мм, для установки в металл толщиной 0,7 - 1,7 мм</t>
  </si>
  <si>
    <t>Гайка резьбовая М 8 сталь оцинкованная</t>
  </si>
  <si>
    <t>f3fe125d-1b5e-11e6-9f26-001e6754e0a4</t>
  </si>
  <si>
    <t>836-A</t>
  </si>
  <si>
    <t>Гайка М6 закладная SMG 836-A, квадрат 8,3 мм, толщина 1,2 - 1,6 мм</t>
  </si>
  <si>
    <t>Гайка М6 закладная SMG 836-A, квадрат 8,3 мм, для установки в металл толщиной 1,2 - 1,6 мм</t>
  </si>
  <si>
    <t>12408a76-6e7f-11ea-9a7e-001e6754e0a5</t>
  </si>
  <si>
    <t>BUT-416</t>
  </si>
  <si>
    <t>Гайка закладная пружинная BUT 416</t>
  </si>
  <si>
    <t>014fa19d-b669-11ec-8e43-001e6754e0a5</t>
  </si>
  <si>
    <t>904-AS</t>
  </si>
  <si>
    <t>Гайка М44 закладная SMG 904-AS, квадрат 9,0 мм, толщина 0,7 - 1,6 мм</t>
  </si>
  <si>
    <t>Гайка М4 закладная SMG 904-AS, квадрат 9,0 мм, для установки в металл толщиной 0,7 - 1,6 мм</t>
  </si>
  <si>
    <t>e6b3df88-12f1-11e7-b603-001e6754e0a4</t>
  </si>
  <si>
    <t>4106-G</t>
  </si>
  <si>
    <t>Гайка М6 закладная DG 4106-G, отверстие 8х13 мм, толщина 2,0 - 2,1 мм</t>
  </si>
  <si>
    <t>Гайка резьбовая М6 стальная оцинкованная</t>
  </si>
  <si>
    <t>96b56248-aa29-11ea-b846-001e6754e0a5</t>
  </si>
  <si>
    <t>Инструмент (щипцы) для закладной гайки</t>
  </si>
  <si>
    <t>шт</t>
  </si>
  <si>
    <t>Щипцы стальные</t>
  </si>
  <si>
    <t>97275d9e-fa34-11e9-b7ca-001e6754e0a5</t>
  </si>
  <si>
    <t>836-0</t>
  </si>
  <si>
    <t>Гайка М6 закладная SMG 836-0, квадрат 8,3 мм, толщина 0,3 - 1,1 мм</t>
  </si>
  <si>
    <t>Гайка М6 закладная SMG 836-0, квадрат 8,3 мм, для установки в металл толщиной 0,3 - 1,1 мм</t>
  </si>
  <si>
    <t>704b1de8-bfbc-11ec-81c7-001e6754e0a5</t>
  </si>
  <si>
    <t>955-B*</t>
  </si>
  <si>
    <t>Гайка М5 закладная SMG 955-B, квадрат 9,5 мм, толщина 1,7 - 2,6 мм*</t>
  </si>
  <si>
    <t>Гайка М5 закладная SMG 955-B, квадрат 9,5 мм, для установки в металл толщиной 1,7 - 2,6 мм*</t>
  </si>
  <si>
    <t>Гайка резьбовая М5 стальная оцинкованная</t>
  </si>
  <si>
    <t>8153e1f2-bfbc-11ec-81c7-001e6754e0a5</t>
  </si>
  <si>
    <t>955-C*</t>
  </si>
  <si>
    <t>Гайка М5 закладная SMG 955-C, квадрат 9,5 мм, толщина 2,7 - 3,5 мм*</t>
  </si>
  <si>
    <t>Гайка М5 закладная SMG 955-C, квадрат 9,5 мм, для установки в металл толщиной 2,7 - 3,5 мм*</t>
  </si>
  <si>
    <t>1b2068d6-c138-11ec-81c7-001e6754e0a5</t>
  </si>
  <si>
    <t>836-0A*</t>
  </si>
  <si>
    <t>Гайка М6 закладная SMG 836-0A, квадрат 8,3 мм, толщина 0,3 - 1,6 мм</t>
  </si>
  <si>
    <t>Гайка М6 закладная SMG 836-0A, квадрат 8,3 мм, для установки в металл толщиной 0,3 - 1,6 мм</t>
  </si>
  <si>
    <t>e9b9e2c3-c141-11ec-81c7-001e6754e0a5</t>
  </si>
  <si>
    <t>1258-B*</t>
  </si>
  <si>
    <t>Гайка М8 закладная SMG 1258-B, квадрат 12,5 мм, толщина 1,8 - 3,2 мм*</t>
  </si>
  <si>
    <t>Гайка М8 закладная SMG 1258-B, квадрат 12,5 мм, для установки в металл толщиной   1,8 - 3,2 мм СТАЛЬ ОЦИНКОВАННАЯ*</t>
  </si>
  <si>
    <t>2be816c5-c14a-11ec-81c7-001e6754e0a5</t>
  </si>
  <si>
    <t>1251-B*</t>
  </si>
  <si>
    <t>Гайка М10 закладная SMG 1251-B, квадрат 12,5 мм, толщина 1,8 - 3,2 мм*</t>
  </si>
  <si>
    <t>Гайка М10 закладная SMG 1251-B, квадрат 12,5 мм, для установки в металл толщиной 1,8 - 3,2 мм*</t>
  </si>
  <si>
    <t>Гайка резьбовая М 10 сталь оцинкованная</t>
  </si>
  <si>
    <t>e8d683ab-77b6-11e9-8204-001e6754e0a5</t>
  </si>
  <si>
    <t>1236-A</t>
  </si>
  <si>
    <t>Гайка М6 закладная SMG 1236-A, квадрат 12,3 мм, толщина 0,7 - 1,7 мм</t>
  </si>
  <si>
    <t>Гайка М6 закладная SMG 1236-A, квадрат 12,3 мм, для установки в металл толщиной 0,7 - 1,7 мм</t>
  </si>
  <si>
    <t>8cedf83e-38ee-11e9-8c98-001e6754e0a5</t>
  </si>
  <si>
    <t>534-C</t>
  </si>
  <si>
    <t>Гайка М4 закладная 534 C, квадрат 5,3 мм, толщина 1,7-2,3 мм</t>
  </si>
  <si>
    <t>Гайка закладная M4 534 C B отверстие в металле 5,3х5,3 мм., толщина 1,7-2,3 мм.</t>
  </si>
  <si>
    <t>aa2aae67-38ee-11e9-8c98-001e6754e0a5</t>
  </si>
  <si>
    <t>534-D</t>
  </si>
  <si>
    <t>Гайка М4 закладная  534 D, квадрат 5,3 мм, толщина 2,4-3,1 мм</t>
  </si>
  <si>
    <t>Гайка закладная M4  534 D B отверстие в металле 5,3х5,3 мм., толщина 2,4-3,1 мм.</t>
  </si>
  <si>
    <t>Гайка резьбовая  M4 сталь оцинкованная</t>
  </si>
  <si>
    <t>0ab30116-526f-11ec-8fdd-001e6754e0a5</t>
  </si>
  <si>
    <t>5304-DX</t>
  </si>
  <si>
    <t>Гайка М4 закладная  534 DX, квадрат 5,3 мм, толщина 2,4-3,1 мм (клеть из нержавеющей стали)</t>
  </si>
  <si>
    <t>Гайка закладная M4  534 DX B отверстие в металле 5,3х5,3 мм., толщина 2,4-3,1 мм.</t>
  </si>
  <si>
    <t>Гайка резьбовая  M4 сталь оцинкованная / клеть нержавеющая</t>
  </si>
  <si>
    <t>d288637d-ae9e-11ed-97f9-001e6754e0a5</t>
  </si>
  <si>
    <t>6116-BCM</t>
  </si>
  <si>
    <t>Гайка М6 закладная ВG 6116 BCM, квадрат 9,5 мм, толщина 1,6 - 1,7 мм</t>
  </si>
  <si>
    <t>0256ce42-1b4b-11e6-9f26-001e6754e0a4</t>
  </si>
  <si>
    <t>5303-A</t>
  </si>
  <si>
    <t>Гайка М3 закладная SMG 5303-A, квадрат 5,3 мм, толщина 0,3 - 0,9 мм</t>
  </si>
  <si>
    <t>Гайка М3 закладная SMG 5303-A, квадрат 5,3 мм, для установки в металл толщиной 0,3 - 0,9 мм</t>
  </si>
  <si>
    <t>Гайка резьбовая М3 стальная оцинкованная</t>
  </si>
  <si>
    <t>b7fc3dca-1b54-11e6-9f26-001e6754e0a4</t>
  </si>
  <si>
    <t>533-B</t>
  </si>
  <si>
    <t>Гайка М3 закладная SMG 5303-B, квадрат 5,3 мм, толщина 1,0 - 1,6 мм</t>
  </si>
  <si>
    <t>Гайка М3 закладная SMG 5303-B, квадрат 5,3 мм, для установки в металл толщиной 1,0 - 1,6 мм</t>
  </si>
  <si>
    <t>Гайка резьбовая М3 сталь оцинкованная</t>
  </si>
  <si>
    <t>c8cf744c-1b5c-11e6-9f26-001e6754e0a4</t>
  </si>
  <si>
    <t>533-C</t>
  </si>
  <si>
    <t>Гайка М3 закладная SMG 5303-C, квадрат 5,3 мм, толщина 1,7 - 2,3 мм</t>
  </si>
  <si>
    <t>Гайка М3 закладная SMG 5303-C, квадрат 5,3 мм, для установки в металл толщиной 1,7 - 2,3 мм</t>
  </si>
  <si>
    <t>4ece242a-bfb2-11ec-81c7-001e6754e0a5</t>
  </si>
  <si>
    <t>956-A*</t>
  </si>
  <si>
    <t>Гайка М6 закладная SMG 956-A, квадрат 9,5 мм, толщина 0,7 - 1,6 мм*</t>
  </si>
  <si>
    <t>Гайка М6 закладная SMG 956-A, квадрат 9,5 мм, для установки в металл толщиной 0,7 - 1,6 мм*</t>
  </si>
  <si>
    <t>72110ff0-bfb2-11ec-81c7-001e6754e0a5</t>
  </si>
  <si>
    <t>956-C*</t>
  </si>
  <si>
    <t>Гайка М6 закладная SMG 956-C, квадрат 9,5 мм, толщина 2,7 - 3,5 мм*</t>
  </si>
  <si>
    <t>Гайка М6 закладная SMG 956-C, квадрат 9,5 мм, для установки в металл толщиной 2,7 - 3,5 мм*</t>
  </si>
  <si>
    <t>Гайка резьбовая М 6  сталь оцинкованная</t>
  </si>
  <si>
    <t>1ea06402-de0b-11e6-a7f3-001e6754e0a4</t>
  </si>
  <si>
    <t>5128-A TI</t>
  </si>
  <si>
    <t>Гайка М8 закладная SMG 5128-A TI, квадрат 12,3 мм, толщина 0,7 - 1,7 мм, сталь нержавеющая</t>
  </si>
  <si>
    <t>Гайка резьбовая М8 сталь нержавеющая</t>
  </si>
  <si>
    <t>05ae354b-df61-11e9-affe-001e6754e0a5</t>
  </si>
  <si>
    <t>675-B</t>
  </si>
  <si>
    <t>Гайка М5 закладная SMG 675-B, квадрат 6,7 мм, толщина 1,7 - 2,6 мм</t>
  </si>
  <si>
    <t>Гайка М5 закладная SMG 675-B, квадрат 6,7 мм, для установки в металл толщиной 1,7 - 2,6 мм</t>
  </si>
  <si>
    <t>13ad3fa5-a6cd-11e8-955d-001e6754e0a5</t>
  </si>
  <si>
    <t>DG6115CTI</t>
  </si>
  <si>
    <t>Гайка М5 закладная SMG DG6115CTI, квадрат 9,5 мм, толщина 2,7 - 3,5 мм СТАЛЬ НЕРЖАВЕЮЩАЯ</t>
  </si>
  <si>
    <t>Гайка М5 закладная SMG DG6115CTI , квадрат 9,5 мм, для установки в металл толщиной 2,7 - 3,5 мм СТАЛЬ НЕРЖАВЕЮЩАЯ</t>
  </si>
  <si>
    <t>Гайка резьбовая М5 сталь оцинкованная</t>
  </si>
  <si>
    <t>0e4bccdc-1b67-11e6-9f26-001e6754e0a4</t>
  </si>
  <si>
    <t>1412-C</t>
  </si>
  <si>
    <t>Гайка М12 закладная SMG 1412-C, квадрат 14,0 мм, толщина 3,3 - 4,7 мм</t>
  </si>
  <si>
    <t>Гайка М12 закладная SMG 1412-C, квадрат 14,0 мм, для установки в металл толщиной 3,3 - 4,7 мм</t>
  </si>
  <si>
    <t>dd50051c-1b5c-11e6-9f26-001e6754e0a4</t>
  </si>
  <si>
    <t>533-D</t>
  </si>
  <si>
    <t>Гайка М3 закладная SMG 5303-D, квадрат 5,3 мм, толщина 2,4 - 3,1 мм</t>
  </si>
  <si>
    <t>Гайка М3 закладная SMG 5303-D, квадрат 5,3 мм, для установки в металл толщиной 2,4 - 3,1 мм</t>
  </si>
  <si>
    <t>ce55dfbc-1b5e-11e6-9f26-001e6754e0a4</t>
  </si>
  <si>
    <t>835-D</t>
  </si>
  <si>
    <t>Гайка М5 закладная SMG 835-D, квадрат 8,3 мм, толщина 3,6 - 4,5 мм</t>
  </si>
  <si>
    <t>Гайка М5 закладная SMG 835-D, квадрат 8,3 мм, для установки в металл толщиной 3,6 - 4,5 мм</t>
  </si>
  <si>
    <t>e4b6709c-1b5d-11e6-9f26-001e6754e0a4</t>
  </si>
  <si>
    <t>675-A</t>
  </si>
  <si>
    <t>Гайка М5 закладная SMG 675-A, квадрат 6,7 мм, толщина 0,7 - 1,6 мм</t>
  </si>
  <si>
    <t>Гайка М5 закладная SMG 675-A, квадрат 6,7 мм, для установки в металл толщиной 0,7 - 1,6 мм</t>
  </si>
  <si>
    <t>8959a81c-1b5e-11e6-9f26-001e6754e0a4</t>
  </si>
  <si>
    <t>835-0</t>
  </si>
  <si>
    <t>Гайка М5 закладная SMG 835-0, квадрат 8,3 мм, толщина 0,3 - 1,1 мм</t>
  </si>
  <si>
    <t>Гайка М5 закладная SMG 835-0, квадрат 8,3 мм, для установки в металл толщиной 0,3 - 1,1 мм</t>
  </si>
  <si>
    <t>cbca2af7-514c-11e9-86df-001e6754e0a5</t>
  </si>
  <si>
    <t>5116-O TI</t>
  </si>
  <si>
    <t>Гайка М6 закладная SMG 5116-O TI, квадрат 8,3 мм, толщина 0,3 - 1,1 мм, сталь нержавеющая</t>
  </si>
  <si>
    <t>f04d863b-514c-11e9-86df-001e6754e0a5</t>
  </si>
  <si>
    <t>5116-C TI</t>
  </si>
  <si>
    <t>Гайка М6 закладная SMG 5116-C TI, квадрат 8,3 мм, толщина 2,6 - 3,5 мм, сталь нержавеющая</t>
  </si>
  <si>
    <t>1527e6f3-7ef4-11e6-88bd-001e6754e0a4</t>
  </si>
  <si>
    <t>4106-B</t>
  </si>
  <si>
    <t>Гайка М6 закладная DG 4106-B, отверстие 8х13 мм, толщина 0,7 - 0,8 мм</t>
  </si>
  <si>
    <t>ac76f9d5-ddda-11ed-b879-001e6754e0a5</t>
  </si>
  <si>
    <t>DG5128A</t>
  </si>
  <si>
    <t>Гайка М8 закладная DG5128A, квадрат 12,3 мм, толщина 0,7 - 1,7 мм, Клеть-НЕРЖ, Гайка-ЦИНК</t>
  </si>
  <si>
    <t>Гайка резьбовая М8 сталь Клеть-НЕРЖ, Гайка-ЦИНК</t>
  </si>
  <si>
    <t>bea34048-e650-11ec-b8f2-001e6754e0a5</t>
  </si>
  <si>
    <t>1408-С</t>
  </si>
  <si>
    <t>Гайка М8 закладная SMG 1408-С, квадрат 14,0 мм, толщина 3,3 - 4,7 мм</t>
  </si>
  <si>
    <t>Гайка М8 закладная SMG 1408-С, квадрат 14,0 мм, для установки в металл толщиной 3,3 - 4,7 мм</t>
  </si>
  <si>
    <t>fc6636dc-9bf5-11ea-bd22-001e6754e0a5</t>
  </si>
  <si>
    <t>1408-B</t>
  </si>
  <si>
    <t>Гайка М8 закладная SMG 1408-B, квадрат 14,0 мм, толщина 1,8 - 3,2 мм</t>
  </si>
  <si>
    <t>Гайка М8 закладная SMG 1408-B, квадрат 14,0 мм, для установки в металл толщиной 1,8 - 3,2 мм</t>
  </si>
  <si>
    <t>8e0e0403-a7fb-11e6-bf00-001e6754e0a4</t>
  </si>
  <si>
    <t>5104-BTI</t>
  </si>
  <si>
    <t>Гайка М4 закладная SMG 5104-BTI, квадрат 5,3 мм, толщина 1,0 - 1,6 мм, сталь нержавеющая</t>
  </si>
  <si>
    <t>Гайка резьбовая М4 сталь нержавеющая</t>
  </si>
  <si>
    <t>fe4288cc-1b65-11e6-9f26-001e6754e0a4</t>
  </si>
  <si>
    <t>1231-B</t>
  </si>
  <si>
    <t>Гайка М10 закладная SMG 1231-B, квадрат 12,3 мм, толщина 1,8 - 3,2 мм</t>
  </si>
  <si>
    <t>Гайка М10 закладная SMG 1231-B, квадрат 12,3 мм, для установки в металл толщиной 1,8 - 3,2 мм</t>
  </si>
  <si>
    <t>139054ac-1b66-11e6-9f26-001e6754e0a4</t>
  </si>
  <si>
    <t>1231-C</t>
  </si>
  <si>
    <t>Гайка М10 закладная SMG 1231-C, квадрат 12,3 мм, толщина 3,3 - 4,7 мм</t>
  </si>
  <si>
    <t>Гайка М10 закладная SMG 1231-C, квадрат 12,3 мм, для установки в металл толщиной 3,3 - 4,7 мм</t>
  </si>
  <si>
    <t>74d3032c-1b66-11e6-9f26-001e6754e0a4</t>
  </si>
  <si>
    <t>1408-D</t>
  </si>
  <si>
    <t>Гайка М8 закладная SMG 1408-D, квадрат 14,0 мм, толщина 4,8 - 6,2 мм</t>
  </si>
  <si>
    <t>Гайка М8 закладная SMG 1408-D, квадрат 14,0 мм, для установки в металл толщиной 4,8 - 6,2 мм</t>
  </si>
  <si>
    <t>Гайка резьбовая М8 оцинкованная</t>
  </si>
  <si>
    <t>976654ac-1b66-11e6-9f26-001e6754e0a4</t>
  </si>
  <si>
    <t>1410-B</t>
  </si>
  <si>
    <t>Гайка М10 закладная SMG 1410-B, квадрат 14,0 мм, толщина 1,8 - 3,2 мм</t>
  </si>
  <si>
    <t>Гайка М10 закладная SMG 1410-B, квадрат 14,0 мм, для установки в металл толщиной 1,8 - 3,2 мм</t>
  </si>
  <si>
    <t>aa628f6c-1b66-11e6-9f26-001e6754e0a4</t>
  </si>
  <si>
    <t>1410-C</t>
  </si>
  <si>
    <t>Гайка М10 закладная SMG 1410-C, квадрат 14,0 мм, толщина 3,3 - 4,7 мм</t>
  </si>
  <si>
    <t>Гайка М10 закладная SMG 1410-C, квадрат 14,0 мм, для установки в металл толщиной 3,3 - 4,7 мм</t>
  </si>
  <si>
    <t>Гайка резьбовая  М10 сталь оцинкованная</t>
  </si>
  <si>
    <t>01c7e98c-1b67-11e6-9f26-001e6754e0a4</t>
  </si>
  <si>
    <t>1412-B</t>
  </si>
  <si>
    <t>Гайка М12 закладная SMG 1412-B, квадрат 14,0 мм, толщина 1,8 - 3,2 мм</t>
  </si>
  <si>
    <t>Гайка М12 закладная SMG 1412-B, квадрат 14,0 мм, для установки в металл толщиной 1,8 - 3,2 мм</t>
  </si>
  <si>
    <t>Гайка резьбовая М 12 сталь оцинкованная</t>
  </si>
  <si>
    <t>a34f2a1d-1b5e-11e6-9f26-001e6754e0a4</t>
  </si>
  <si>
    <t>835-A</t>
  </si>
  <si>
    <t>Гайка М5 закладная SMG 835-A, квадрат 8,3 мм, толщина 1,2 - 1,6 мм</t>
  </si>
  <si>
    <t>Гайка М5 закладная SMG 835-A, квадрат 8,3 мм, для установки в металл толщиной 1,2 - 1,6 мм</t>
  </si>
  <si>
    <t>b519266c-1b5e-11e6-9f26-001e6754e0a4</t>
  </si>
  <si>
    <t>835-B</t>
  </si>
  <si>
    <t>Гайка М5 закладная SMG 835-B, квадрат 8,3 мм, толщина 1,7 - 2,5 мм</t>
  </si>
  <si>
    <t>Гайка М5 закладная SMG 835-B, квадрат 8,3 мм, для установки в металл толщиной 1,7 - 2,5 мм</t>
  </si>
  <si>
    <t>c2bfdedc-1b5e-11e6-9f26-001e6754e0a4</t>
  </si>
  <si>
    <t>835-C</t>
  </si>
  <si>
    <t>Гайка М5 закладная SMG 835-C, квадрат 8,3 мм, толщина 2,6 - 3,5 мм</t>
  </si>
  <si>
    <t>Гайка М5 закладная SMG 835-C, квадрат 8,3 мм, для установки в металл толщиной 2,6 - 3,5 мм</t>
  </si>
  <si>
    <t>1d25c43c-1b5e-11e6-9f26-001e6754e0a4</t>
  </si>
  <si>
    <t>834-0</t>
  </si>
  <si>
    <t>Гайка М4 закладная SMG 834-0, квадрат 8,3 мм, толщина 0,3 - 1,1 мм</t>
  </si>
  <si>
    <t>Гайка М4 закладная SMG 834-0, квадрат 8,3 мм, для установки в металл толщиной 0,3 - 1,1 мм</t>
  </si>
  <si>
    <t>30a845fc-1b5e-11e6-9f26-001e6754e0a4</t>
  </si>
  <si>
    <t>834-A</t>
  </si>
  <si>
    <t>Гайка М4 закладная SMG 834-A, квадрат 8,3 мм, толщина 1,2 - 1,6 мм</t>
  </si>
  <si>
    <t>Гайка М4 закладная SMG 834-A, квадрат 8,3 мм, для установки в металл толщиной 1,2 - 1,6 мм</t>
  </si>
  <si>
    <t>45db5dec-1b5e-11e6-9f26-001e6754e0a4</t>
  </si>
  <si>
    <t>834-B</t>
  </si>
  <si>
    <t>Гайка М4 закладная SMG 834-B, квадрат 8,3 мм, толщина 1,7 - 2,5 мм</t>
  </si>
  <si>
    <t>Гайка М4 закладная SMG 834-B, квадрат 8,3 мм, для установки в металл толщиной 1,7 - 2,5 мм</t>
  </si>
  <si>
    <t>600891bc-1b5e-11e6-9f26-001e6754e0a4</t>
  </si>
  <si>
    <t>834-C</t>
  </si>
  <si>
    <t>Гайка М4 закладная SMG 834-C, квадрат 8,3 мм, толщина 2,6 - 3,5 мм</t>
  </si>
  <si>
    <t>Гайка М4 закладная SMG 834-C, квадрат 8,3 мм, для установки в металл толщиной 2,6 - 3,5 мм</t>
  </si>
  <si>
    <t>Гайка резьбовая М4 стальная оцинкованая</t>
  </si>
  <si>
    <t>02d0a09c-1b5f-11e6-9f26-001e6754e0a4</t>
  </si>
  <si>
    <t>836-B</t>
  </si>
  <si>
    <t>Гайка М6 закладная SMG 836-B, квадрат 8,3 мм, толщина 1,7 - 2,5 мм</t>
  </si>
  <si>
    <t>Гайка М6 закладная SMG 836-B, квадрат 8,3 мм, для установки в металл толщиной 1,7 - 2,5 мм</t>
  </si>
  <si>
    <t>0bca24ad-1b5f-11e6-9f26-001e6754e0a4</t>
  </si>
  <si>
    <t>836-C</t>
  </si>
  <si>
    <t>Гайка М6 закладная SMG 836-C, квадрат 8,3 мм, толщина 2,6 - 3,5 мм</t>
  </si>
  <si>
    <t>Гайка М6 закладная SMG 836-C, квадрат 8,3 мм, для установки в металл толщиной 2,6 - 3,5 мм</t>
  </si>
  <si>
    <t>6b89406c-1b5f-11e6-9f26-001e6754e0a4</t>
  </si>
  <si>
    <t>954-B</t>
  </si>
  <si>
    <t>Гайка М4 закладная SMG 954-B, квадрат 9,5 мм, толщина 1,7 - 2,6 мм</t>
  </si>
  <si>
    <t>Гайка М4 закладная SMG 954-B, квадрат 9,5 мм, для установки в металл толщиной 1,7 - 2,6 мм</t>
  </si>
  <si>
    <t>Гайка резьбовая М4 сталь оцинкованнная</t>
  </si>
  <si>
    <t>cf08bf8c-1b5f-11e6-9f26-001e6754e0a4</t>
  </si>
  <si>
    <t>955-A</t>
  </si>
  <si>
    <t>Гайка М5 закладная SMG 955-A, квадрат 9,5 мм, толщина 0,7 - 1,6 мм</t>
  </si>
  <si>
    <t>Гайка М5 закладная SMG 955-A, квадрат 9,5 мм, для установки в металл толщиной 0,7 - 1,6 мм</t>
  </si>
  <si>
    <t>de7a9b0c-1b5f-11e6-9f26-001e6754e0a4</t>
  </si>
  <si>
    <t>955-B</t>
  </si>
  <si>
    <t>Гайка М5 закладная SMG 955-B, квадрат 9,5 мм, толщина 1,7 - 2,6 мм</t>
  </si>
  <si>
    <t>Гайка М5 закладная SMG 955-B, квадрат 9,5 мм, для установки в металл толщиной 1,7 - 2,6 мм</t>
  </si>
  <si>
    <t>faa5739c-1b5f-11e6-9f26-001e6754e0a4</t>
  </si>
  <si>
    <t>956-A</t>
  </si>
  <si>
    <t>Гайка М6 закладная SMG 956-A, квадрат 9,5 мм, толщина 0,7 - 1,6 мм</t>
  </si>
  <si>
    <t>Гайка М6 закладная SMG 956-A, квадрат 9,5 мм, для установки в металл толщиной 0,7 - 1,6 мм</t>
  </si>
  <si>
    <t>0bdca5cc-1b60-11e6-9f26-001e6754e0a4</t>
  </si>
  <si>
    <t>956-B</t>
  </si>
  <si>
    <t>Гайка М6 закладная SMG 956-B, квадрат 9,5 мм, толщина 1,7 - 2,6 мм</t>
  </si>
  <si>
    <t>Гайка М6 закладная SMG 956-B, квадрат 9,5 мм, для установки в металл толщиной 1,7 - 2,6 мм</t>
  </si>
  <si>
    <t>19872ecc-1b60-11e6-9f26-001e6754e0a4</t>
  </si>
  <si>
    <t>956-C</t>
  </si>
  <si>
    <t>Гайка М6 закладная SMG 956-C, квадрат 9,5 мм, толщина 2,7 - 3,5 мм</t>
  </si>
  <si>
    <t>Гайка М6 закладная SMG 956-C, квадрат 9,5 мм, для установки в металл толщиной 2,7 - 3,5 мм</t>
  </si>
  <si>
    <t>6dcc361c-1b60-11e6-9f26-001e6754e0a4</t>
  </si>
  <si>
    <t>905-AS</t>
  </si>
  <si>
    <t>Гайка М5 закладная SMG 905-AS, квадрат 9,0 мм, толщина 0,7 - 1,6 мм</t>
  </si>
  <si>
    <t>Гайка М5 закладная SMG 905-AS, квадрат 9,0 мм, для установки в металл толщиной 0,7 - 1,6 мм</t>
  </si>
  <si>
    <t>7c5fe69c-1b60-11e6-9f26-001e6754e0a4</t>
  </si>
  <si>
    <t>905-BS</t>
  </si>
  <si>
    <t>Гайка М5 закладная SMG 905-BS, квадрат 9,0 мм, толщина 1,7 - 2,6 мм</t>
  </si>
  <si>
    <t>Гайка М5 закладная SMG 905-BS, квадрат 9,0 мм, для установки в металл толщиной 1,7 - 2,6 мм</t>
  </si>
  <si>
    <t>965149ed-1b60-11e6-9f26-001e6754e0a4</t>
  </si>
  <si>
    <t>906-AS</t>
  </si>
  <si>
    <t>Гайка М6 закладная SMG 906-AS, квадрат 9,0 мм, толщина 0,7 - 1,6 мм</t>
  </si>
  <si>
    <t>Гайка М6 закладная SMG 906-AS, квадрат 9,0 мм, для установки в металл толщиной 0,7 - 1,6 мм</t>
  </si>
  <si>
    <t>Гайка резьбовая М6 сталь оцинкованная</t>
  </si>
  <si>
    <t>a3437f6c-1b60-11e6-9f26-001e6754e0a4</t>
  </si>
  <si>
    <t>906-BS</t>
  </si>
  <si>
    <t>Гайка М6 закладная SMG 906-BS, квадрат 9,0 мм, толщина 1,7 - 2,6 мм</t>
  </si>
  <si>
    <t>Гайка М6 закладная SMG 906-BS, квадрат 9,0 мм, для установки в металл толщиной 1,7 - 2,6 мм</t>
  </si>
  <si>
    <t>b0bac36c-1b60-11e6-9f26-001e6754e0a4</t>
  </si>
  <si>
    <t>906-CS</t>
  </si>
  <si>
    <t>Гайка М6 закладная SMG 906-CS, квадрат 9,0 мм, толщина 2,7 - 3,5 мм</t>
  </si>
  <si>
    <t>Гайка М6 закладная SMG 906-CS, квадрат 9,0 мм, для установки в металл толщиной 2,7 - 3,5 мм</t>
  </si>
  <si>
    <t>Гайка М6 сталь оцинкованная</t>
  </si>
  <si>
    <t>7270778c-1b65-11e6-9f26-001e6754e0a4</t>
  </si>
  <si>
    <t>1236-B</t>
  </si>
  <si>
    <t>Гайка М6 закладная SMG 1236-B, квадрат 12,3 мм, толщина 1,8 - 3,2 мм</t>
  </si>
  <si>
    <t>Гайка М6 закладная SMG 1236-B, квадрат 12,3 мм, для установки в металл толщиной 1,8 - 3,2 мм</t>
  </si>
  <si>
    <t>abd108fc-1b65-11e6-9f26-001e6754e0a4</t>
  </si>
  <si>
    <t>1238-A</t>
  </si>
  <si>
    <t>Гайка М8 закладная SMG 1238-A, квадрат 12,3 мм, толщина 0,7 - 1,7 мм</t>
  </si>
  <si>
    <t>Гайка М8 закладная SMG 1238-A, квадрат 12,3 мм, для установки в металл толщиной   0,7 - 1,7 мм</t>
  </si>
  <si>
    <t>Гайка резьбовая М8 стальная оцинкованная</t>
  </si>
  <si>
    <t>be2088fc-1b65-11e6-9f26-001e6754e0a4</t>
  </si>
  <si>
    <t>1238-B</t>
  </si>
  <si>
    <t>Гайка М8 закладная SMG 1238-B, квадрат 12,3 мм, толщина 1,8 - 3,2 мм</t>
  </si>
  <si>
    <t>Гайка М8 закладная SMG 1238-B, квадрат 12,3 мм, для установки в металл толщиной   1,8 - 3,2 мм СТАЛЬ ОЦИНКОВАННАЯ</t>
  </si>
  <si>
    <t>d1bde5bc-1b65-11e6-9f26-001e6754e0a4</t>
  </si>
  <si>
    <t>1238-C</t>
  </si>
  <si>
    <t>Гайка М8 закладная SMG 1238-C, квадрат 12,3 мм, толщина 3,3 - 4,7 мм</t>
  </si>
  <si>
    <t>Гайка М8 закладная SMG 1238-C, квадрат 12,3 мм, для установки в металл толщиной 3,3 - 4,7 мм</t>
  </si>
  <si>
    <t>e28a6f3c-1b65-11e6-9f26-001e6754e0a4</t>
  </si>
  <si>
    <t>1238-D</t>
  </si>
  <si>
    <t>Гайка М8 закладная SMG 1238-D, квадрат 12,3 мм, толщина 4,8 - 6,2 мм</t>
  </si>
  <si>
    <t>Гайка М8 закладная SMG 1238-D, квадрат 12,3 мм, для установки в металл толщиной 4,8 - 6,2 мм</t>
  </si>
  <si>
    <t>Гайка резьюовая  М8 сталь оцинкованная</t>
  </si>
  <si>
    <t>f3564b8c-1b5c-11e6-9f26-001e6754e0a4</t>
  </si>
  <si>
    <t>534-A</t>
  </si>
  <si>
    <t>Гайка М4 закладная SMG 5304-A, квадрат 5,3 мм, толщина 0,3 - 0,9 мм</t>
  </si>
  <si>
    <t>Гайка М4 закладная SMG 5304-A, квадрат 5,3 мм, для установки в металл толщиной 0,3 - 0,9 мм</t>
  </si>
  <si>
    <t>043b17fc-1b5d-11e6-9f26-001e6754e0a4</t>
  </si>
  <si>
    <t>534-B</t>
  </si>
  <si>
    <t>Гайка М4 закладная SMG 5304-B, квадрат 5,3 мм, толщина 1,0 - 1,6 мм</t>
  </si>
  <si>
    <t>Гайка М4 закладная SMG 5304-B, квадрат 5,3 мм, для установки в металл толщиной 1,0 - 1,6 мм</t>
  </si>
  <si>
    <t>Гайка резьбовая М4 сталь оцинкованная</t>
  </si>
  <si>
    <t>a2d0047d-1b5d-11e6-9f26-001e6754e0a4</t>
  </si>
  <si>
    <t>673-B</t>
  </si>
  <si>
    <t>Гайка М3 закладная SMG 673-B, квадрат 6,7 мм, толщина 1,7 - 2,6 мм</t>
  </si>
  <si>
    <t>Гайка М3 закладная SMG 673-B, квадрат 6,7 мм, для установки в металл толщиной 1,7 - 2,6 мм</t>
  </si>
  <si>
    <t>bb50248c-1b5d-11e6-9f26-001e6754e0a4</t>
  </si>
  <si>
    <t>674-A</t>
  </si>
  <si>
    <t>Гайка М4 закладная SMG 674-A, квадрат 6,7 мм, толщина 0,7 - 1,6 мм</t>
  </si>
  <si>
    <t>Гайка М4 закладная SMG 674-A, квадрат 6,7 мм, для установки в металл толщиной 0,7 - 1,6 мм</t>
  </si>
  <si>
    <t>d404c21c-1b5d-11e6-9f26-001e6754e0a4</t>
  </si>
  <si>
    <t>674-B</t>
  </si>
  <si>
    <t>Гайка М4 закладная SMG 674-B, квадрат 6,7 мм, толщина 1,7 - 2,6 мм</t>
  </si>
  <si>
    <t>Гайка М4 закладная SMG 674-B, квадрат 6,7 мм, для установки в металл толщиной 1,7 - 2,6 мм</t>
  </si>
  <si>
    <t>62c750d8-bfb2-11ec-81c7-001e6754e0a5</t>
  </si>
  <si>
    <t>956-B*</t>
  </si>
  <si>
    <t>Гайка М6 закладная SMG 956-B, квадрат 9,5 мм, толщина 1,7 - 2,6 мм*</t>
  </si>
  <si>
    <t>Гайка М6 закладная SMG 956-B, квадрат 9,5 мм, для установки в металл толщиной 1,7 - 2,6 мм*</t>
  </si>
  <si>
    <t>72b192a6-b079-11e6-bf00-001e6754e0a4</t>
  </si>
  <si>
    <t>5104-B</t>
  </si>
  <si>
    <t>Гайка М4 закладная SMG 5104-B, квадрат 5,3 мм, толщина 1,0 - 1,6 мм,клетка нержавеющая, гайка оцинк</t>
  </si>
  <si>
    <t>Гайка М4 закладная SMG 5104-B, квадрат 5,3 мм, толщина 1,0 - 1,6 мм, клетка нержавеющая, гайка оцинк</t>
  </si>
  <si>
    <t>4ae79384-a6e8-11e9-9889-001e6754e0a5</t>
  </si>
  <si>
    <t>955-A сталь нержавеющая DG6115A-TI</t>
  </si>
  <si>
    <t>Гайка М5 закладная DG6115A-TI, квадрат 9,5 мм, толщина 0,7 - 1,6  мм, сталь нержавеющая</t>
  </si>
  <si>
    <t>Гайка резьбовая М5 сталь нержавеющая</t>
  </si>
  <si>
    <t>370768c9-c62f-11ec-81c7-001e6754e0a5</t>
  </si>
  <si>
    <t>6116-A</t>
  </si>
  <si>
    <t>Гайка М6 закладная DG6116-A TI, квадрат 9,5 мм, толщина 0.7 - 1,6  мм, сталь нержавеющая</t>
  </si>
  <si>
    <t>8942ba2c-1b5d-11e6-9f26-001e6754e0a4</t>
  </si>
  <si>
    <t>673-A</t>
  </si>
  <si>
    <t>Гайка М3 закладная SMG 673-A, квадрат 6,7 мм, толщина 0,7 - 1,6 мм</t>
  </si>
  <si>
    <t>Гайка М3 закладная SMG 673-A, квадрат 6,7 мм, для установки в металл толщиной 0,7 - 1,6 мм</t>
  </si>
  <si>
    <t>507a767f-e139-11ee-bfa3-001e6754e0a5</t>
  </si>
  <si>
    <t>DG6115B TI</t>
  </si>
  <si>
    <t>Гайка М5 закладная SMG DG6115B TI, квадрат 9,5 мм, толщина  1,7-2,6 мм СТАЛЬ НЕРЖАВЕЮЩАЯ</t>
  </si>
  <si>
    <t>Гайка М5 закладная SMG DG6115B TI , квадрат 9,5 мм, для установки в металл толщиной 1,7-2,6 мм СТАЛЬ НЕРЖАВЕЮЩАЯ</t>
  </si>
  <si>
    <t>a83245a3-7b5c-11e8-955d-001e6754e0a5</t>
  </si>
  <si>
    <t>5115-A сталь нержавеющая DG5115ATI</t>
  </si>
  <si>
    <t>Гайка М5 закладная DG5115-A TI, квадрат 8,3 мм, толщина 1.2 - 1,6  мм, сталь нержавеющая</t>
  </si>
  <si>
    <t>8a2e4b4c-1b60-11e6-9f26-001e6754e0a4</t>
  </si>
  <si>
    <t>905-CS</t>
  </si>
  <si>
    <t>Гайка М5 закладная SMG 905-CS, квадрат 9,0 мм, толщина 2,7 - 3,5 мм</t>
  </si>
  <si>
    <t>Гайка М5 закладная SMG 905-CS, квадрат 9,0 мм, для установки в металл толщиной 2,7 - 3,5 мм</t>
  </si>
  <si>
    <t>a7f13cb3-de0a-11e6-a7f3-001e6754e0a4</t>
  </si>
  <si>
    <t>5116-B TI</t>
  </si>
  <si>
    <t>Гайка М6 закладная SMG 5116-B TI, квадрат 8,3 мм, толщина 1,7 - 2,5 мм, сталь нержавеющая</t>
  </si>
  <si>
    <t>Гайка резьбовая М6 сталь нержавеющая</t>
  </si>
  <si>
    <t>d8c06cad-be84-11ed-b8d5-001e6754e0a5</t>
  </si>
  <si>
    <t>6116-B</t>
  </si>
  <si>
    <t>Гайка М6 закладная DG6116-B TI, квадрат 9,5 мм, толщина 1,7 - 2,6  мм, сталь нержавеющая</t>
  </si>
  <si>
    <t>95f4ced9-b60b-11e6-bf00-001e6754e0a4</t>
  </si>
  <si>
    <t>5128-BTI</t>
  </si>
  <si>
    <t>Гайка М8 закладная SMG 5128-B, квадрат 12,3 мм, толщина 1,8 - 3,2 мм сталь нержавеющая</t>
  </si>
  <si>
    <t>Гайка М8 закладная SMG 5128-B, квадрат 12,3 мм, толщина 1,8 - 3,2 мм сталь нержавеющая (КРАТНО 1000шт.)</t>
  </si>
  <si>
    <t>Гайка резьбовая М 8 сталь нержавеющая</t>
  </si>
  <si>
    <t>1c619acd-1b67-11e6-9f26-001e6754e0a4</t>
  </si>
  <si>
    <t>1412-D</t>
  </si>
  <si>
    <t>Гайка М12 закладная SMG 1412-D, квадрат 14,0 мм, толщина 4,8 - 6,2 мм</t>
  </si>
  <si>
    <t>Гайка М12 закладная SMG 1412-D, квадрат 14,0 мм, для установки в металл толщиной 4,8 - 6,2 мм</t>
  </si>
  <si>
    <t>67d97100-de0b-11e6-a7f3-001e6754e0a4</t>
  </si>
  <si>
    <t>5130-B TI</t>
  </si>
  <si>
    <t>Гайка М10 закладная SMG 5130-B TI, квадрат 14 мм, толщина 1,8 - 3,2 мм, сталь нержавеющая</t>
  </si>
  <si>
    <t>Гайка резьбовая М10 сталь нержавеющая</t>
  </si>
  <si>
    <t>6e871dd1-6184-11ec-b5b8-001e6754e0a5</t>
  </si>
  <si>
    <t>533BXX</t>
  </si>
  <si>
    <t>Гайка М3 закладная SMG 533BXX, квадрат 5,3 мм, толщина 1,0 - 1,6 мм, сталь нержавеющая</t>
  </si>
  <si>
    <t>Гайка М3 закладная SMG 533BXXI, квадрат 5,3 мм, толщина 1,0 - 1,6 мм, сталь нержавеющая</t>
  </si>
  <si>
    <t>Гайка резьбовая М3 сталь нержавеющая</t>
  </si>
  <si>
    <t>56ae3e3f-1c28-11e6-9f26-001e6754e0a4</t>
  </si>
  <si>
    <t>5128-A</t>
  </si>
  <si>
    <t>Гайка М8 закладная СТАЛЬ НЕРЖАВЕЮЩАЯ SMG 5128-A, квадрат 12,3 мм, толщина 0,7 - 1,7 мм</t>
  </si>
  <si>
    <t>Гайка М8 закладная СТАЛЬ НЕРЖАВЕЮЩАЯ SMG 5128-A, квадрат 12,3 мм, для установки в металл толщиной 0,7 - 1,7 мм</t>
  </si>
  <si>
    <t>51a98f65-2b28-11e7-9174-001e6754e0a4</t>
  </si>
  <si>
    <t>835-A сталь нержавеющая DG5115BTI</t>
  </si>
  <si>
    <t>Гайка М5 закладная DG5115BTI, квадрат 8,3 мм, толщина 1,2 - 1,6  мм, сталь нержавеющая</t>
  </si>
  <si>
    <t>5b965fd0-bfbc-11ec-81c7-001e6754e0a5</t>
  </si>
  <si>
    <t>955-A*</t>
  </si>
  <si>
    <t>Гайка М5 закладная SMG 955-A, квадрат 9,5 мм, толщина 0,7 - 1,6 мм*</t>
  </si>
  <si>
    <t>Гайка М5 закладная SMG 955-A, квадрат 9,5 мм, для установки в металл толщиной 0,7 - 1,6 мм*</t>
  </si>
  <si>
    <t>КИТАЙ</t>
  </si>
  <si>
    <t>ДЛЯ ЗАГРУЗКИ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</si>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</sst>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P182"/>
  <sheetViews>
    <sheetView tabSelected="1" topLeftCell="E166" workbookViewId="0">
      <selection activeCell="E183" sqref="A183:XFD309"/>
    </sheetView>
  </sheetViews>
  <sheetFormatPr defaultColWidth="10.5" defaultRowHeight="11.45" customHeight="1" outlineLevelRow="1" x14ac:dyDescent="0.2"/>
  <cols>
    <col min="1" max="1" width="10.5" style="1" customWidth="1"/>
    <col min="2" max="2" width="3.6640625" style="1" customWidth="1"/>
    <col min="3" max="3" width="19.33203125" style="1" customWidth="1"/>
    <col min="4" max="4" width="34" style="1" customWidth="1"/>
    <col min="5" max="5" width="9.33203125" style="1" customWidth="1"/>
    <col min="6" max="7" width="74.6640625" style="1" customWidth="1"/>
    <col min="8" max="8" width="13" style="1" customWidth="1"/>
    <col min="9" max="9" width="6.6640625" style="1" customWidth="1"/>
    <col min="10" max="10" width="11" style="1" customWidth="1"/>
    <col min="11" max="11" width="7.5" style="1" customWidth="1"/>
    <col min="12" max="12" width="19" style="1" customWidth="1"/>
    <col min="13" max="13" width="37" style="1" customWidth="1"/>
    <col min="14" max="14" width="9.5" style="1" customWidth="1"/>
    <col min="15" max="15" width="10.33203125" style="1" customWidth="1"/>
  </cols>
  <sheetData>
    <row r="1" spans="1:16" s="1" customFormat="1" ht="9.9499999999999993" customHeight="1" x14ac:dyDescent="0.2"/>
    <row r="2" spans="1:16" ht="12.95" customHeight="1" outlineLevel="1" x14ac:dyDescent="0.2">
      <c r="A2" s="2" t="s">
        <v>0</v>
      </c>
      <c r="B2" s="2"/>
      <c r="C2" s="2" t="s">
        <v>1</v>
      </c>
      <c r="D2" s="2"/>
    </row>
    <row r="3" spans="1:16" ht="12.95" customHeight="1" outlineLevel="1" x14ac:dyDescent="0.2">
      <c r="C3" s="2" t="s">
        <v>2</v>
      </c>
      <c r="D3" s="2"/>
    </row>
    <row r="4" spans="1:16" ht="12.95" customHeight="1" outlineLevel="1" x14ac:dyDescent="0.2">
      <c r="A4" s="2" t="s">
        <v>3</v>
      </c>
      <c r="B4" s="2"/>
      <c r="C4" s="2" t="s">
        <v>4</v>
      </c>
      <c r="D4" s="2"/>
    </row>
    <row r="5" spans="1:16" s="1" customFormat="1" ht="9.9499999999999993" customHeight="1" x14ac:dyDescent="0.2"/>
    <row r="6" spans="1:16" ht="26.1" customHeight="1" x14ac:dyDescent="0.2">
      <c r="A6" s="10" t="s">
        <v>5</v>
      </c>
      <c r="B6" s="10"/>
      <c r="C6" s="10"/>
      <c r="D6" s="10" t="s">
        <v>6</v>
      </c>
      <c r="E6" s="10"/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8" t="s">
        <v>745</v>
      </c>
      <c r="M6" s="3" t="s">
        <v>13</v>
      </c>
      <c r="N6" s="3" t="s">
        <v>14</v>
      </c>
      <c r="O6" s="3" t="s">
        <v>15</v>
      </c>
    </row>
    <row r="7" spans="1:16" ht="23.1" customHeight="1" x14ac:dyDescent="0.2">
      <c r="A7" s="9" t="s">
        <v>16</v>
      </c>
      <c r="B7" s="9"/>
      <c r="C7" s="9"/>
      <c r="D7" s="9" t="s">
        <v>17</v>
      </c>
      <c r="E7" s="9"/>
      <c r="F7" s="4" t="s">
        <v>18</v>
      </c>
      <c r="G7" s="4" t="s">
        <v>19</v>
      </c>
      <c r="H7" s="4" t="s">
        <v>20</v>
      </c>
      <c r="I7" s="5"/>
      <c r="J7" s="4"/>
      <c r="K7" s="4"/>
      <c r="L7" s="4">
        <f>K7*1.1</f>
        <v>0</v>
      </c>
      <c r="M7" s="4"/>
      <c r="N7" s="4"/>
      <c r="O7" s="4"/>
      <c r="P7" t="s">
        <v>746</v>
      </c>
    </row>
    <row r="8" spans="1:16" ht="23.1" customHeight="1" x14ac:dyDescent="0.2">
      <c r="A8" s="9" t="s">
        <v>21</v>
      </c>
      <c r="B8" s="9"/>
      <c r="C8" s="9"/>
      <c r="D8" s="9" t="s">
        <v>22</v>
      </c>
      <c r="E8" s="9"/>
      <c r="F8" s="4" t="s">
        <v>23</v>
      </c>
      <c r="G8" s="4" t="s">
        <v>24</v>
      </c>
      <c r="H8" s="4" t="s">
        <v>20</v>
      </c>
      <c r="I8" s="5"/>
      <c r="J8" s="4"/>
      <c r="K8" s="4"/>
      <c r="L8" s="4">
        <f t="shared" ref="L8:L71" si="0">K8*1.1</f>
        <v>0</v>
      </c>
      <c r="M8" s="4"/>
      <c r="N8" s="4"/>
      <c r="O8" s="4"/>
      <c r="P8" t="s">
        <v>746</v>
      </c>
    </row>
    <row r="9" spans="1:16" ht="23.1" customHeight="1" x14ac:dyDescent="0.2">
      <c r="A9" s="9" t="s">
        <v>25</v>
      </c>
      <c r="B9" s="9"/>
      <c r="C9" s="9"/>
      <c r="D9" s="9" t="s">
        <v>26</v>
      </c>
      <c r="E9" s="9"/>
      <c r="F9" s="4" t="s">
        <v>26</v>
      </c>
      <c r="G9" s="4" t="s">
        <v>27</v>
      </c>
      <c r="H9" s="4" t="s">
        <v>20</v>
      </c>
      <c r="I9" s="5"/>
      <c r="J9" s="4"/>
      <c r="K9" s="6">
        <v>69.849999999999994</v>
      </c>
      <c r="L9" s="4">
        <f t="shared" si="0"/>
        <v>76.834999999999994</v>
      </c>
      <c r="M9" s="4"/>
      <c r="N9" s="4"/>
      <c r="O9" s="4"/>
      <c r="P9" t="s">
        <v>746</v>
      </c>
    </row>
    <row r="10" spans="1:16" ht="23.1" customHeight="1" x14ac:dyDescent="0.2">
      <c r="A10" s="9" t="s">
        <v>28</v>
      </c>
      <c r="B10" s="9"/>
      <c r="C10" s="9"/>
      <c r="D10" s="9" t="s">
        <v>29</v>
      </c>
      <c r="E10" s="9"/>
      <c r="F10" s="4" t="s">
        <v>30</v>
      </c>
      <c r="G10" s="4" t="s">
        <v>31</v>
      </c>
      <c r="H10" s="4" t="s">
        <v>20</v>
      </c>
      <c r="I10" s="5"/>
      <c r="J10" s="4"/>
      <c r="K10" s="4"/>
      <c r="L10" s="4">
        <f t="shared" si="0"/>
        <v>0</v>
      </c>
      <c r="M10" s="4"/>
      <c r="N10" s="4"/>
      <c r="O10" s="4"/>
      <c r="P10" t="s">
        <v>746</v>
      </c>
    </row>
    <row r="11" spans="1:16" ht="23.1" customHeight="1" x14ac:dyDescent="0.2">
      <c r="A11" s="9" t="s">
        <v>32</v>
      </c>
      <c r="B11" s="9"/>
      <c r="C11" s="9"/>
      <c r="D11" s="9" t="s">
        <v>33</v>
      </c>
      <c r="E11" s="9"/>
      <c r="F11" s="4" t="s">
        <v>34</v>
      </c>
      <c r="G11" s="4" t="s">
        <v>35</v>
      </c>
      <c r="H11" s="4" t="s">
        <v>20</v>
      </c>
      <c r="I11" s="5"/>
      <c r="J11" s="4"/>
      <c r="K11" s="4"/>
      <c r="L11" s="4">
        <f t="shared" si="0"/>
        <v>0</v>
      </c>
      <c r="M11" s="4"/>
      <c r="N11" s="4"/>
      <c r="O11" s="4"/>
      <c r="P11" t="s">
        <v>746</v>
      </c>
    </row>
    <row r="12" spans="1:16" ht="23.1" customHeight="1" x14ac:dyDescent="0.2">
      <c r="A12" s="9" t="s">
        <v>36</v>
      </c>
      <c r="B12" s="9"/>
      <c r="C12" s="9"/>
      <c r="D12" s="9" t="s">
        <v>37</v>
      </c>
      <c r="E12" s="9"/>
      <c r="F12" s="4" t="s">
        <v>38</v>
      </c>
      <c r="G12" s="4" t="s">
        <v>39</v>
      </c>
      <c r="H12" s="4" t="s">
        <v>20</v>
      </c>
      <c r="I12" s="5"/>
      <c r="J12" s="4"/>
      <c r="K12" s="4"/>
      <c r="L12" s="4">
        <f t="shared" si="0"/>
        <v>0</v>
      </c>
      <c r="M12" s="4"/>
      <c r="N12" s="4"/>
      <c r="O12" s="4"/>
      <c r="P12" t="s">
        <v>746</v>
      </c>
    </row>
    <row r="13" spans="1:16" ht="23.1" customHeight="1" x14ac:dyDescent="0.2">
      <c r="A13" s="9" t="s">
        <v>40</v>
      </c>
      <c r="B13" s="9"/>
      <c r="C13" s="9"/>
      <c r="D13" s="9" t="s">
        <v>41</v>
      </c>
      <c r="E13" s="9"/>
      <c r="F13" s="4" t="s">
        <v>42</v>
      </c>
      <c r="G13" s="4" t="s">
        <v>43</v>
      </c>
      <c r="H13" s="4" t="s">
        <v>20</v>
      </c>
      <c r="I13" s="5"/>
      <c r="J13" s="4"/>
      <c r="K13" s="4"/>
      <c r="L13" s="4">
        <f t="shared" si="0"/>
        <v>0</v>
      </c>
      <c r="M13" s="4"/>
      <c r="N13" s="4"/>
      <c r="O13" s="4"/>
      <c r="P13" t="s">
        <v>746</v>
      </c>
    </row>
    <row r="14" spans="1:16" ht="23.1" customHeight="1" x14ac:dyDescent="0.2">
      <c r="A14" s="9" t="s">
        <v>44</v>
      </c>
      <c r="B14" s="9"/>
      <c r="C14" s="9"/>
      <c r="D14" s="9" t="s">
        <v>45</v>
      </c>
      <c r="E14" s="9"/>
      <c r="F14" s="4" t="s">
        <v>46</v>
      </c>
      <c r="G14" s="4" t="s">
        <v>47</v>
      </c>
      <c r="H14" s="4" t="s">
        <v>20</v>
      </c>
      <c r="I14" s="5"/>
      <c r="J14" s="4"/>
      <c r="K14" s="6">
        <v>6.16</v>
      </c>
      <c r="L14" s="4">
        <f t="shared" si="0"/>
        <v>6.7760000000000007</v>
      </c>
      <c r="M14" s="4"/>
      <c r="N14" s="4"/>
      <c r="O14" s="4"/>
      <c r="P14" t="s">
        <v>746</v>
      </c>
    </row>
    <row r="15" spans="1:16" ht="23.1" customHeight="1" x14ac:dyDescent="0.2">
      <c r="A15" s="9" t="s">
        <v>48</v>
      </c>
      <c r="B15" s="9"/>
      <c r="C15" s="9"/>
      <c r="D15" s="9" t="s">
        <v>49</v>
      </c>
      <c r="E15" s="9"/>
      <c r="F15" s="4" t="s">
        <v>50</v>
      </c>
      <c r="G15" s="4" t="s">
        <v>51</v>
      </c>
      <c r="H15" s="4" t="s">
        <v>20</v>
      </c>
      <c r="I15" s="5"/>
      <c r="J15" s="4"/>
      <c r="K15" s="4"/>
      <c r="L15" s="4">
        <f t="shared" si="0"/>
        <v>0</v>
      </c>
      <c r="M15" s="4"/>
      <c r="N15" s="4"/>
      <c r="O15" s="4"/>
      <c r="P15" t="s">
        <v>746</v>
      </c>
    </row>
    <row r="16" spans="1:16" ht="23.1" customHeight="1" x14ac:dyDescent="0.2">
      <c r="A16" s="9" t="s">
        <v>52</v>
      </c>
      <c r="B16" s="9"/>
      <c r="C16" s="9"/>
      <c r="D16" s="9" t="s">
        <v>53</v>
      </c>
      <c r="E16" s="9"/>
      <c r="F16" s="4" t="s">
        <v>54</v>
      </c>
      <c r="G16" s="4" t="s">
        <v>55</v>
      </c>
      <c r="H16" s="4" t="s">
        <v>20</v>
      </c>
      <c r="I16" s="5"/>
      <c r="J16" s="4"/>
      <c r="K16" s="6">
        <v>9.6300000000000008</v>
      </c>
      <c r="L16" s="4">
        <f t="shared" si="0"/>
        <v>10.593000000000002</v>
      </c>
      <c r="M16" s="4"/>
      <c r="N16" s="4"/>
      <c r="O16" s="4"/>
      <c r="P16" t="s">
        <v>746</v>
      </c>
    </row>
    <row r="17" spans="1:16" ht="23.1" customHeight="1" x14ac:dyDescent="0.2">
      <c r="A17" s="9" t="s">
        <v>56</v>
      </c>
      <c r="B17" s="9"/>
      <c r="C17" s="9"/>
      <c r="D17" s="9" t="s">
        <v>57</v>
      </c>
      <c r="E17" s="9"/>
      <c r="F17" s="4" t="s">
        <v>58</v>
      </c>
      <c r="G17" s="4" t="s">
        <v>59</v>
      </c>
      <c r="H17" s="4" t="s">
        <v>20</v>
      </c>
      <c r="I17" s="5"/>
      <c r="J17" s="4"/>
      <c r="K17" s="6">
        <v>15.59</v>
      </c>
      <c r="L17" s="4">
        <f t="shared" si="0"/>
        <v>17.149000000000001</v>
      </c>
      <c r="M17" s="4"/>
      <c r="N17" s="4"/>
      <c r="O17" s="4"/>
      <c r="P17" t="s">
        <v>746</v>
      </c>
    </row>
    <row r="18" spans="1:16" ht="23.1" customHeight="1" x14ac:dyDescent="0.2">
      <c r="A18" s="9" t="s">
        <v>60</v>
      </c>
      <c r="B18" s="9"/>
      <c r="C18" s="9"/>
      <c r="D18" s="9" t="s">
        <v>61</v>
      </c>
      <c r="E18" s="9"/>
      <c r="F18" s="4" t="s">
        <v>62</v>
      </c>
      <c r="G18" s="4" t="s">
        <v>63</v>
      </c>
      <c r="H18" s="4" t="s">
        <v>20</v>
      </c>
      <c r="I18" s="5"/>
      <c r="J18" s="4"/>
      <c r="K18" s="4"/>
      <c r="L18" s="4">
        <f t="shared" si="0"/>
        <v>0</v>
      </c>
      <c r="M18" s="4"/>
      <c r="N18" s="4"/>
      <c r="O18" s="4"/>
      <c r="P18" t="s">
        <v>746</v>
      </c>
    </row>
    <row r="19" spans="1:16" ht="23.1" customHeight="1" x14ac:dyDescent="0.2">
      <c r="A19" s="9" t="s">
        <v>64</v>
      </c>
      <c r="B19" s="9"/>
      <c r="C19" s="9"/>
      <c r="D19" s="9" t="s">
        <v>65</v>
      </c>
      <c r="E19" s="9"/>
      <c r="F19" s="4" t="s">
        <v>66</v>
      </c>
      <c r="G19" s="4" t="s">
        <v>67</v>
      </c>
      <c r="H19" s="4" t="s">
        <v>20</v>
      </c>
      <c r="I19" s="5"/>
      <c r="J19" s="4"/>
      <c r="K19" s="4"/>
      <c r="L19" s="4">
        <f t="shared" si="0"/>
        <v>0</v>
      </c>
      <c r="M19" s="4"/>
      <c r="N19" s="4"/>
      <c r="O19" s="4"/>
      <c r="P19" t="s">
        <v>746</v>
      </c>
    </row>
    <row r="20" spans="1:16" ht="23.1" customHeight="1" x14ac:dyDescent="0.2">
      <c r="A20" s="9" t="s">
        <v>68</v>
      </c>
      <c r="B20" s="9"/>
      <c r="C20" s="9"/>
      <c r="D20" s="9" t="s">
        <v>69</v>
      </c>
      <c r="E20" s="9"/>
      <c r="F20" s="4" t="s">
        <v>70</v>
      </c>
      <c r="G20" s="4" t="s">
        <v>71</v>
      </c>
      <c r="H20" s="4" t="s">
        <v>20</v>
      </c>
      <c r="I20" s="5"/>
      <c r="J20" s="4"/>
      <c r="K20" s="4"/>
      <c r="L20" s="4">
        <f t="shared" si="0"/>
        <v>0</v>
      </c>
      <c r="M20" s="4"/>
      <c r="N20" s="4"/>
      <c r="O20" s="4"/>
      <c r="P20" t="s">
        <v>746</v>
      </c>
    </row>
    <row r="21" spans="1:16" ht="23.1" customHeight="1" x14ac:dyDescent="0.2">
      <c r="A21" s="9" t="s">
        <v>72</v>
      </c>
      <c r="B21" s="9"/>
      <c r="C21" s="9"/>
      <c r="D21" s="9" t="s">
        <v>73</v>
      </c>
      <c r="E21" s="9"/>
      <c r="F21" s="4" t="s">
        <v>74</v>
      </c>
      <c r="G21" s="4" t="s">
        <v>75</v>
      </c>
      <c r="H21" s="4" t="s">
        <v>20</v>
      </c>
      <c r="I21" s="5"/>
      <c r="J21" s="4"/>
      <c r="K21" s="4"/>
      <c r="L21" s="4">
        <f t="shared" si="0"/>
        <v>0</v>
      </c>
      <c r="M21" s="4"/>
      <c r="N21" s="4"/>
      <c r="O21" s="4"/>
      <c r="P21" t="s">
        <v>746</v>
      </c>
    </row>
    <row r="22" spans="1:16" ht="23.1" customHeight="1" x14ac:dyDescent="0.2">
      <c r="A22" s="9" t="s">
        <v>76</v>
      </c>
      <c r="B22" s="9"/>
      <c r="C22" s="9"/>
      <c r="D22" s="9" t="s">
        <v>77</v>
      </c>
      <c r="E22" s="9"/>
      <c r="F22" s="4" t="s">
        <v>78</v>
      </c>
      <c r="G22" s="4" t="s">
        <v>79</v>
      </c>
      <c r="H22" s="4" t="s">
        <v>80</v>
      </c>
      <c r="I22" s="5"/>
      <c r="J22" s="4"/>
      <c r="K22" s="6">
        <v>57.08</v>
      </c>
      <c r="L22" s="4">
        <f t="shared" si="0"/>
        <v>62.788000000000004</v>
      </c>
      <c r="M22" s="4"/>
      <c r="N22" s="4"/>
      <c r="O22" s="4"/>
      <c r="P22" t="s">
        <v>746</v>
      </c>
    </row>
    <row r="23" spans="1:16" ht="23.1" customHeight="1" x14ac:dyDescent="0.2">
      <c r="A23" s="9" t="s">
        <v>81</v>
      </c>
      <c r="B23" s="9"/>
      <c r="C23" s="9"/>
      <c r="D23" s="9" t="s">
        <v>82</v>
      </c>
      <c r="E23" s="9"/>
      <c r="F23" s="4" t="s">
        <v>83</v>
      </c>
      <c r="G23" s="4" t="s">
        <v>84</v>
      </c>
      <c r="H23" s="4" t="s">
        <v>80</v>
      </c>
      <c r="I23" s="7">
        <v>4.4669999999999996</v>
      </c>
      <c r="J23" s="4"/>
      <c r="K23" s="6">
        <v>57.08</v>
      </c>
      <c r="L23" s="4">
        <f t="shared" si="0"/>
        <v>62.788000000000004</v>
      </c>
      <c r="M23" s="4" t="s">
        <v>85</v>
      </c>
      <c r="N23" s="4"/>
      <c r="O23" s="4"/>
      <c r="P23" t="s">
        <v>746</v>
      </c>
    </row>
    <row r="24" spans="1:16" ht="23.1" customHeight="1" x14ac:dyDescent="0.2">
      <c r="A24" s="9" t="s">
        <v>86</v>
      </c>
      <c r="B24" s="9"/>
      <c r="C24" s="9"/>
      <c r="D24" s="9" t="s">
        <v>87</v>
      </c>
      <c r="E24" s="9"/>
      <c r="F24" s="4" t="s">
        <v>88</v>
      </c>
      <c r="G24" s="4" t="s">
        <v>89</v>
      </c>
      <c r="H24" s="4" t="s">
        <v>80</v>
      </c>
      <c r="I24" s="5"/>
      <c r="J24" s="4"/>
      <c r="K24" s="6">
        <v>85.23</v>
      </c>
      <c r="L24" s="4">
        <f t="shared" si="0"/>
        <v>93.753000000000014</v>
      </c>
      <c r="M24" s="4"/>
      <c r="N24" s="4"/>
      <c r="O24" s="4"/>
      <c r="P24" t="s">
        <v>746</v>
      </c>
    </row>
    <row r="25" spans="1:16" ht="23.1" customHeight="1" x14ac:dyDescent="0.2">
      <c r="A25" s="9" t="s">
        <v>90</v>
      </c>
      <c r="B25" s="9"/>
      <c r="C25" s="9"/>
      <c r="D25" s="9" t="s">
        <v>91</v>
      </c>
      <c r="E25" s="9"/>
      <c r="F25" s="4" t="s">
        <v>92</v>
      </c>
      <c r="G25" s="4" t="s">
        <v>93</v>
      </c>
      <c r="H25" s="4" t="s">
        <v>80</v>
      </c>
      <c r="I25" s="5"/>
      <c r="J25" s="4"/>
      <c r="K25" s="6">
        <v>46.18</v>
      </c>
      <c r="L25" s="4">
        <f t="shared" si="0"/>
        <v>50.798000000000002</v>
      </c>
      <c r="M25" s="4"/>
      <c r="N25" s="4"/>
      <c r="O25" s="4"/>
      <c r="P25" t="s">
        <v>746</v>
      </c>
    </row>
    <row r="26" spans="1:16" ht="23.1" customHeight="1" x14ac:dyDescent="0.2">
      <c r="A26" s="9" t="s">
        <v>94</v>
      </c>
      <c r="B26" s="9"/>
      <c r="C26" s="9"/>
      <c r="D26" s="9" t="s">
        <v>95</v>
      </c>
      <c r="E26" s="9"/>
      <c r="F26" s="4" t="s">
        <v>96</v>
      </c>
      <c r="G26" s="4" t="s">
        <v>97</v>
      </c>
      <c r="H26" s="4" t="s">
        <v>80</v>
      </c>
      <c r="I26" s="5"/>
      <c r="J26" s="4"/>
      <c r="K26" s="6">
        <v>57.08</v>
      </c>
      <c r="L26" s="4">
        <f t="shared" si="0"/>
        <v>62.788000000000004</v>
      </c>
      <c r="M26" s="4"/>
      <c r="N26" s="4"/>
      <c r="O26" s="4"/>
      <c r="P26" t="s">
        <v>746</v>
      </c>
    </row>
    <row r="27" spans="1:16" ht="23.1" customHeight="1" x14ac:dyDescent="0.2">
      <c r="A27" s="9" t="s">
        <v>98</v>
      </c>
      <c r="B27" s="9"/>
      <c r="C27" s="9"/>
      <c r="D27" s="9" t="s">
        <v>99</v>
      </c>
      <c r="E27" s="9"/>
      <c r="F27" s="4" t="s">
        <v>100</v>
      </c>
      <c r="G27" s="4" t="s">
        <v>101</v>
      </c>
      <c r="H27" s="4" t="s">
        <v>80</v>
      </c>
      <c r="I27" s="5"/>
      <c r="J27" s="4"/>
      <c r="K27" s="6">
        <v>85.23</v>
      </c>
      <c r="L27" s="4">
        <f t="shared" si="0"/>
        <v>93.753000000000014</v>
      </c>
      <c r="M27" s="4"/>
      <c r="N27" s="4"/>
      <c r="O27" s="4"/>
      <c r="P27" t="s">
        <v>746</v>
      </c>
    </row>
    <row r="28" spans="1:16" ht="23.1" customHeight="1" x14ac:dyDescent="0.2">
      <c r="A28" s="9" t="s">
        <v>102</v>
      </c>
      <c r="B28" s="9"/>
      <c r="C28" s="9"/>
      <c r="D28" s="9" t="s">
        <v>103</v>
      </c>
      <c r="E28" s="9"/>
      <c r="F28" s="4" t="s">
        <v>104</v>
      </c>
      <c r="G28" s="4" t="s">
        <v>105</v>
      </c>
      <c r="H28" s="4" t="s">
        <v>80</v>
      </c>
      <c r="I28" s="5"/>
      <c r="J28" s="4"/>
      <c r="K28" s="6">
        <v>46.18</v>
      </c>
      <c r="L28" s="4">
        <f t="shared" si="0"/>
        <v>50.798000000000002</v>
      </c>
      <c r="M28" s="4"/>
      <c r="N28" s="4"/>
      <c r="O28" s="4"/>
      <c r="P28" t="s">
        <v>746</v>
      </c>
    </row>
    <row r="29" spans="1:16" ht="23.1" customHeight="1" x14ac:dyDescent="0.2">
      <c r="A29" s="9" t="s">
        <v>106</v>
      </c>
      <c r="B29" s="9"/>
      <c r="C29" s="9"/>
      <c r="D29" s="9" t="s">
        <v>107</v>
      </c>
      <c r="E29" s="9"/>
      <c r="F29" s="4" t="s">
        <v>108</v>
      </c>
      <c r="G29" s="4" t="s">
        <v>109</v>
      </c>
      <c r="H29" s="4" t="s">
        <v>80</v>
      </c>
      <c r="I29" s="5"/>
      <c r="J29" s="4"/>
      <c r="K29" s="6">
        <v>46.18</v>
      </c>
      <c r="L29" s="4">
        <f t="shared" si="0"/>
        <v>50.798000000000002</v>
      </c>
      <c r="M29" s="4"/>
      <c r="N29" s="4"/>
      <c r="O29" s="4"/>
      <c r="P29" t="s">
        <v>746</v>
      </c>
    </row>
    <row r="30" spans="1:16" ht="23.1" customHeight="1" x14ac:dyDescent="0.2">
      <c r="A30" s="9" t="s">
        <v>110</v>
      </c>
      <c r="B30" s="9"/>
      <c r="C30" s="9"/>
      <c r="D30" s="9" t="s">
        <v>111</v>
      </c>
      <c r="E30" s="9"/>
      <c r="F30" s="4" t="s">
        <v>112</v>
      </c>
      <c r="G30" s="4" t="s">
        <v>113</v>
      </c>
      <c r="H30" s="4" t="s">
        <v>80</v>
      </c>
      <c r="I30" s="5"/>
      <c r="J30" s="4"/>
      <c r="K30" s="6">
        <v>46.18</v>
      </c>
      <c r="L30" s="4">
        <f t="shared" si="0"/>
        <v>50.798000000000002</v>
      </c>
      <c r="M30" s="4"/>
      <c r="N30" s="4"/>
      <c r="O30" s="4"/>
      <c r="P30" t="s">
        <v>746</v>
      </c>
    </row>
    <row r="31" spans="1:16" ht="23.1" customHeight="1" x14ac:dyDescent="0.2">
      <c r="A31" s="9" t="s">
        <v>114</v>
      </c>
      <c r="B31" s="9"/>
      <c r="C31" s="9"/>
      <c r="D31" s="9" t="s">
        <v>115</v>
      </c>
      <c r="E31" s="9"/>
      <c r="F31" s="4" t="s">
        <v>116</v>
      </c>
      <c r="G31" s="4" t="s">
        <v>117</v>
      </c>
      <c r="H31" s="4" t="s">
        <v>80</v>
      </c>
      <c r="I31" s="5"/>
      <c r="J31" s="4"/>
      <c r="K31" s="6">
        <v>49.47</v>
      </c>
      <c r="L31" s="4">
        <f t="shared" si="0"/>
        <v>54.417000000000002</v>
      </c>
      <c r="M31" s="4"/>
      <c r="N31" s="4"/>
      <c r="O31" s="4"/>
      <c r="P31" t="s">
        <v>746</v>
      </c>
    </row>
    <row r="32" spans="1:16" ht="23.1" customHeight="1" x14ac:dyDescent="0.2">
      <c r="A32" s="9" t="s">
        <v>118</v>
      </c>
      <c r="B32" s="9"/>
      <c r="C32" s="9"/>
      <c r="D32" s="9" t="s">
        <v>119</v>
      </c>
      <c r="E32" s="9"/>
      <c r="F32" s="4" t="s">
        <v>120</v>
      </c>
      <c r="G32" s="4" t="s">
        <v>121</v>
      </c>
      <c r="H32" s="4" t="s">
        <v>80</v>
      </c>
      <c r="I32" s="5"/>
      <c r="J32" s="4"/>
      <c r="K32" s="6">
        <v>48.3</v>
      </c>
      <c r="L32" s="4">
        <f t="shared" si="0"/>
        <v>53.13</v>
      </c>
      <c r="M32" s="4"/>
      <c r="N32" s="4"/>
      <c r="O32" s="4"/>
      <c r="P32" t="s">
        <v>746</v>
      </c>
    </row>
    <row r="33" spans="1:16" ht="23.1" customHeight="1" x14ac:dyDescent="0.2">
      <c r="A33" s="9" t="s">
        <v>122</v>
      </c>
      <c r="B33" s="9"/>
      <c r="C33" s="9"/>
      <c r="D33" s="9" t="s">
        <v>123</v>
      </c>
      <c r="E33" s="9"/>
      <c r="F33" s="4" t="s">
        <v>124</v>
      </c>
      <c r="G33" s="4" t="s">
        <v>125</v>
      </c>
      <c r="H33" s="4" t="s">
        <v>80</v>
      </c>
      <c r="I33" s="5"/>
      <c r="J33" s="4"/>
      <c r="K33" s="6">
        <v>47.84</v>
      </c>
      <c r="L33" s="4">
        <f t="shared" si="0"/>
        <v>52.624000000000009</v>
      </c>
      <c r="M33" s="4"/>
      <c r="N33" s="4"/>
      <c r="O33" s="4"/>
      <c r="P33" t="s">
        <v>746</v>
      </c>
    </row>
    <row r="34" spans="1:16" ht="23.1" customHeight="1" x14ac:dyDescent="0.2">
      <c r="A34" s="9" t="s">
        <v>126</v>
      </c>
      <c r="B34" s="9"/>
      <c r="C34" s="9"/>
      <c r="D34" s="9" t="s">
        <v>127</v>
      </c>
      <c r="E34" s="9"/>
      <c r="F34" s="4" t="s">
        <v>128</v>
      </c>
      <c r="G34" s="4" t="s">
        <v>129</v>
      </c>
      <c r="H34" s="4" t="s">
        <v>80</v>
      </c>
      <c r="I34" s="5"/>
      <c r="J34" s="4"/>
      <c r="K34" s="6">
        <v>85.23</v>
      </c>
      <c r="L34" s="4">
        <f t="shared" si="0"/>
        <v>93.753000000000014</v>
      </c>
      <c r="M34" s="4"/>
      <c r="N34" s="4"/>
      <c r="O34" s="4"/>
      <c r="P34" t="s">
        <v>746</v>
      </c>
    </row>
    <row r="35" spans="1:16" ht="23.1" customHeight="1" x14ac:dyDescent="0.2">
      <c r="A35" s="9" t="s">
        <v>130</v>
      </c>
      <c r="B35" s="9"/>
      <c r="C35" s="9"/>
      <c r="D35" s="9" t="s">
        <v>131</v>
      </c>
      <c r="E35" s="9"/>
      <c r="F35" s="4" t="s">
        <v>132</v>
      </c>
      <c r="G35" s="4" t="s">
        <v>133</v>
      </c>
      <c r="H35" s="4" t="s">
        <v>80</v>
      </c>
      <c r="I35" s="5"/>
      <c r="J35" s="4"/>
      <c r="K35" s="6">
        <v>85.23</v>
      </c>
      <c r="L35" s="4">
        <f t="shared" si="0"/>
        <v>93.753000000000014</v>
      </c>
      <c r="M35" s="4"/>
      <c r="N35" s="4"/>
      <c r="O35" s="4"/>
      <c r="P35" t="s">
        <v>746</v>
      </c>
    </row>
    <row r="36" spans="1:16" ht="23.1" customHeight="1" x14ac:dyDescent="0.2">
      <c r="A36" s="9" t="s">
        <v>134</v>
      </c>
      <c r="B36" s="9"/>
      <c r="C36" s="9"/>
      <c r="D36" s="9" t="s">
        <v>135</v>
      </c>
      <c r="E36" s="9"/>
      <c r="F36" s="4" t="s">
        <v>136</v>
      </c>
      <c r="G36" s="4" t="s">
        <v>137</v>
      </c>
      <c r="H36" s="4" t="s">
        <v>80</v>
      </c>
      <c r="I36" s="5"/>
      <c r="J36" s="4"/>
      <c r="K36" s="6">
        <v>85.23</v>
      </c>
      <c r="L36" s="4">
        <f t="shared" si="0"/>
        <v>93.753000000000014</v>
      </c>
      <c r="M36" s="4"/>
      <c r="N36" s="4"/>
      <c r="O36" s="4"/>
      <c r="P36" t="s">
        <v>746</v>
      </c>
    </row>
    <row r="37" spans="1:16" ht="23.1" customHeight="1" x14ac:dyDescent="0.2">
      <c r="A37" s="9" t="s">
        <v>138</v>
      </c>
      <c r="B37" s="9"/>
      <c r="C37" s="9"/>
      <c r="D37" s="9" t="s">
        <v>139</v>
      </c>
      <c r="E37" s="9"/>
      <c r="F37" s="4" t="s">
        <v>140</v>
      </c>
      <c r="G37" s="4" t="s">
        <v>141</v>
      </c>
      <c r="H37" s="4" t="s">
        <v>80</v>
      </c>
      <c r="I37" s="5"/>
      <c r="J37" s="4"/>
      <c r="K37" s="6">
        <v>85.23</v>
      </c>
      <c r="L37" s="4">
        <f t="shared" si="0"/>
        <v>93.753000000000014</v>
      </c>
      <c r="M37" s="4"/>
      <c r="N37" s="4"/>
      <c r="O37" s="4"/>
      <c r="P37" t="s">
        <v>746</v>
      </c>
    </row>
    <row r="38" spans="1:16" ht="23.1" customHeight="1" x14ac:dyDescent="0.2">
      <c r="A38" s="9" t="s">
        <v>142</v>
      </c>
      <c r="B38" s="9"/>
      <c r="C38" s="9"/>
      <c r="D38" s="9" t="s">
        <v>143</v>
      </c>
      <c r="E38" s="9"/>
      <c r="F38" s="4" t="s">
        <v>144</v>
      </c>
      <c r="G38" s="4" t="s">
        <v>145</v>
      </c>
      <c r="H38" s="4" t="s">
        <v>80</v>
      </c>
      <c r="I38" s="5"/>
      <c r="J38" s="4"/>
      <c r="K38" s="6">
        <v>85.23</v>
      </c>
      <c r="L38" s="4">
        <f t="shared" si="0"/>
        <v>93.753000000000014</v>
      </c>
      <c r="M38" s="4"/>
      <c r="N38" s="4"/>
      <c r="O38" s="4"/>
      <c r="P38" t="s">
        <v>746</v>
      </c>
    </row>
    <row r="39" spans="1:16" ht="23.1" customHeight="1" x14ac:dyDescent="0.2">
      <c r="A39" s="9" t="s">
        <v>146</v>
      </c>
      <c r="B39" s="9"/>
      <c r="C39" s="9"/>
      <c r="D39" s="9" t="s">
        <v>147</v>
      </c>
      <c r="E39" s="9"/>
      <c r="F39" s="4" t="s">
        <v>148</v>
      </c>
      <c r="G39" s="4" t="s">
        <v>148</v>
      </c>
      <c r="H39" s="4" t="s">
        <v>80</v>
      </c>
      <c r="I39" s="5"/>
      <c r="J39" s="4"/>
      <c r="K39" s="6">
        <v>49.47</v>
      </c>
      <c r="L39" s="4">
        <f t="shared" si="0"/>
        <v>54.417000000000002</v>
      </c>
      <c r="M39" s="4"/>
      <c r="N39" s="4"/>
      <c r="O39" s="4"/>
      <c r="P39" t="s">
        <v>746</v>
      </c>
    </row>
    <row r="40" spans="1:16" ht="23.1" customHeight="1" x14ac:dyDescent="0.2">
      <c r="A40" s="9" t="s">
        <v>149</v>
      </c>
      <c r="B40" s="9"/>
      <c r="C40" s="9"/>
      <c r="D40" s="9" t="s">
        <v>150</v>
      </c>
      <c r="E40" s="9"/>
      <c r="F40" s="4" t="s">
        <v>151</v>
      </c>
      <c r="G40" s="4" t="s">
        <v>152</v>
      </c>
      <c r="H40" s="4" t="s">
        <v>80</v>
      </c>
      <c r="I40" s="5"/>
      <c r="J40" s="4"/>
      <c r="K40" s="6">
        <v>33.630000000000003</v>
      </c>
      <c r="L40" s="4">
        <f t="shared" si="0"/>
        <v>36.993000000000009</v>
      </c>
      <c r="M40" s="4"/>
      <c r="N40" s="4"/>
      <c r="O40" s="4"/>
      <c r="P40" t="s">
        <v>746</v>
      </c>
    </row>
    <row r="41" spans="1:16" ht="23.1" customHeight="1" x14ac:dyDescent="0.2">
      <c r="A41" s="9" t="s">
        <v>153</v>
      </c>
      <c r="B41" s="9"/>
      <c r="C41" s="9"/>
      <c r="D41" s="9" t="s">
        <v>154</v>
      </c>
      <c r="E41" s="9"/>
      <c r="F41" s="4" t="s">
        <v>155</v>
      </c>
      <c r="G41" s="4" t="s">
        <v>156</v>
      </c>
      <c r="H41" s="4" t="s">
        <v>80</v>
      </c>
      <c r="I41" s="5"/>
      <c r="J41" s="4"/>
      <c r="K41" s="6">
        <v>49.47</v>
      </c>
      <c r="L41" s="4">
        <f t="shared" si="0"/>
        <v>54.417000000000002</v>
      </c>
      <c r="M41" s="4"/>
      <c r="N41" s="4"/>
      <c r="O41" s="4"/>
      <c r="P41" t="s">
        <v>746</v>
      </c>
    </row>
    <row r="42" spans="1:16" ht="23.1" customHeight="1" x14ac:dyDescent="0.2">
      <c r="A42" s="9" t="s">
        <v>157</v>
      </c>
      <c r="B42" s="9"/>
      <c r="C42" s="9"/>
      <c r="D42" s="9" t="s">
        <v>158</v>
      </c>
      <c r="E42" s="9"/>
      <c r="F42" s="4" t="s">
        <v>159</v>
      </c>
      <c r="G42" s="4" t="s">
        <v>160</v>
      </c>
      <c r="H42" s="4" t="s">
        <v>80</v>
      </c>
      <c r="I42" s="5"/>
      <c r="J42" s="4"/>
      <c r="K42" s="6">
        <v>57.08</v>
      </c>
      <c r="L42" s="4">
        <f t="shared" si="0"/>
        <v>62.788000000000004</v>
      </c>
      <c r="M42" s="4"/>
      <c r="N42" s="4"/>
      <c r="O42" s="4"/>
      <c r="P42" t="s">
        <v>746</v>
      </c>
    </row>
    <row r="43" spans="1:16" ht="23.1" customHeight="1" x14ac:dyDescent="0.2">
      <c r="A43" s="9" t="s">
        <v>161</v>
      </c>
      <c r="B43" s="9"/>
      <c r="C43" s="9"/>
      <c r="D43" s="9" t="s">
        <v>162</v>
      </c>
      <c r="E43" s="9"/>
      <c r="F43" s="4" t="s">
        <v>163</v>
      </c>
      <c r="G43" s="4" t="s">
        <v>164</v>
      </c>
      <c r="H43" s="4" t="s">
        <v>80</v>
      </c>
      <c r="I43" s="7">
        <v>5</v>
      </c>
      <c r="J43" s="4"/>
      <c r="K43" s="6">
        <v>57.08</v>
      </c>
      <c r="L43" s="4">
        <f t="shared" si="0"/>
        <v>62.788000000000004</v>
      </c>
      <c r="M43" s="4" t="s">
        <v>165</v>
      </c>
      <c r="N43" s="4"/>
      <c r="O43" s="4"/>
      <c r="P43" t="s">
        <v>746</v>
      </c>
    </row>
    <row r="44" spans="1:16" ht="23.1" customHeight="1" x14ac:dyDescent="0.2">
      <c r="A44" s="9" t="s">
        <v>166</v>
      </c>
      <c r="B44" s="9"/>
      <c r="C44" s="9"/>
      <c r="D44" s="9" t="s">
        <v>167</v>
      </c>
      <c r="E44" s="9"/>
      <c r="F44" s="4" t="s">
        <v>168</v>
      </c>
      <c r="G44" s="4" t="s">
        <v>168</v>
      </c>
      <c r="H44" s="4" t="s">
        <v>80</v>
      </c>
      <c r="I44" s="5"/>
      <c r="J44" s="4"/>
      <c r="K44" s="6">
        <v>196.2</v>
      </c>
      <c r="L44" s="4">
        <f t="shared" si="0"/>
        <v>215.82</v>
      </c>
      <c r="M44" s="4" t="s">
        <v>169</v>
      </c>
      <c r="N44" s="4"/>
      <c r="O44" s="4"/>
      <c r="P44" t="s">
        <v>746</v>
      </c>
    </row>
    <row r="45" spans="1:16" ht="23.1" customHeight="1" x14ac:dyDescent="0.2">
      <c r="A45" s="9" t="s">
        <v>170</v>
      </c>
      <c r="B45" s="9"/>
      <c r="C45" s="9"/>
      <c r="D45" s="9" t="s">
        <v>171</v>
      </c>
      <c r="E45" s="9"/>
      <c r="F45" s="4" t="s">
        <v>172</v>
      </c>
      <c r="G45" s="4" t="s">
        <v>173</v>
      </c>
      <c r="H45" s="4" t="s">
        <v>80</v>
      </c>
      <c r="I45" s="5"/>
      <c r="J45" s="4"/>
      <c r="K45" s="6">
        <v>46.18</v>
      </c>
      <c r="L45" s="4">
        <f t="shared" si="0"/>
        <v>50.798000000000002</v>
      </c>
      <c r="M45" s="4"/>
      <c r="N45" s="4"/>
      <c r="O45" s="4"/>
      <c r="P45" t="s">
        <v>746</v>
      </c>
    </row>
    <row r="46" spans="1:16" ht="23.1" customHeight="1" x14ac:dyDescent="0.2">
      <c r="A46" s="9" t="s">
        <v>174</v>
      </c>
      <c r="B46" s="9"/>
      <c r="C46" s="9"/>
      <c r="D46" s="9" t="s">
        <v>175</v>
      </c>
      <c r="E46" s="9"/>
      <c r="F46" s="4" t="s">
        <v>176</v>
      </c>
      <c r="G46" s="4" t="s">
        <v>177</v>
      </c>
      <c r="H46" s="4" t="s">
        <v>80</v>
      </c>
      <c r="I46" s="5"/>
      <c r="J46" s="4"/>
      <c r="K46" s="6">
        <v>47.84</v>
      </c>
      <c r="L46" s="4">
        <f t="shared" si="0"/>
        <v>52.624000000000009</v>
      </c>
      <c r="M46" s="4"/>
      <c r="N46" s="4"/>
      <c r="O46" s="4"/>
      <c r="P46" t="s">
        <v>746</v>
      </c>
    </row>
    <row r="47" spans="1:16" ht="23.1" customHeight="1" x14ac:dyDescent="0.2">
      <c r="A47" s="9" t="s">
        <v>178</v>
      </c>
      <c r="B47" s="9"/>
      <c r="C47" s="9"/>
      <c r="D47" s="9" t="s">
        <v>179</v>
      </c>
      <c r="E47" s="9"/>
      <c r="F47" s="4" t="s">
        <v>180</v>
      </c>
      <c r="G47" s="4" t="s">
        <v>181</v>
      </c>
      <c r="H47" s="4" t="s">
        <v>80</v>
      </c>
      <c r="I47" s="5"/>
      <c r="J47" s="4"/>
      <c r="K47" s="6">
        <v>49.47</v>
      </c>
      <c r="L47" s="4">
        <f t="shared" si="0"/>
        <v>54.417000000000002</v>
      </c>
      <c r="M47" s="4"/>
      <c r="N47" s="4"/>
      <c r="O47" s="4"/>
      <c r="P47" t="s">
        <v>746</v>
      </c>
    </row>
    <row r="48" spans="1:16" ht="23.1" customHeight="1" x14ac:dyDescent="0.2">
      <c r="A48" s="9" t="s">
        <v>182</v>
      </c>
      <c r="B48" s="9"/>
      <c r="C48" s="9"/>
      <c r="D48" s="9" t="s">
        <v>183</v>
      </c>
      <c r="E48" s="9"/>
      <c r="F48" s="4" t="s">
        <v>184</v>
      </c>
      <c r="G48" s="4" t="s">
        <v>185</v>
      </c>
      <c r="H48" s="4" t="s">
        <v>80</v>
      </c>
      <c r="I48" s="5"/>
      <c r="J48" s="4"/>
      <c r="K48" s="6">
        <v>49.47</v>
      </c>
      <c r="L48" s="4">
        <f t="shared" si="0"/>
        <v>54.417000000000002</v>
      </c>
      <c r="M48" s="4"/>
      <c r="N48" s="4"/>
      <c r="O48" s="4"/>
      <c r="P48" t="s">
        <v>746</v>
      </c>
    </row>
    <row r="49" spans="1:16" ht="23.1" customHeight="1" x14ac:dyDescent="0.2">
      <c r="A49" s="9" t="s">
        <v>186</v>
      </c>
      <c r="B49" s="9"/>
      <c r="C49" s="9"/>
      <c r="D49" s="9" t="s">
        <v>187</v>
      </c>
      <c r="E49" s="9"/>
      <c r="F49" s="4" t="s">
        <v>188</v>
      </c>
      <c r="G49" s="4" t="s">
        <v>189</v>
      </c>
      <c r="H49" s="4" t="s">
        <v>80</v>
      </c>
      <c r="I49" s="5"/>
      <c r="J49" s="4"/>
      <c r="K49" s="6">
        <v>34.94</v>
      </c>
      <c r="L49" s="4">
        <f t="shared" si="0"/>
        <v>38.433999999999997</v>
      </c>
      <c r="M49" s="4"/>
      <c r="N49" s="4"/>
      <c r="O49" s="4"/>
      <c r="P49" t="s">
        <v>746</v>
      </c>
    </row>
    <row r="50" spans="1:16" ht="23.1" customHeight="1" x14ac:dyDescent="0.2">
      <c r="A50" s="9" t="s">
        <v>190</v>
      </c>
      <c r="B50" s="9"/>
      <c r="C50" s="9"/>
      <c r="D50" s="9" t="s">
        <v>191</v>
      </c>
      <c r="E50" s="9"/>
      <c r="F50" s="4" t="s">
        <v>192</v>
      </c>
      <c r="G50" s="4" t="s">
        <v>193</v>
      </c>
      <c r="H50" s="4" t="s">
        <v>80</v>
      </c>
      <c r="I50" s="5"/>
      <c r="J50" s="4"/>
      <c r="K50" s="6">
        <v>49.47</v>
      </c>
      <c r="L50" s="4">
        <f t="shared" si="0"/>
        <v>54.417000000000002</v>
      </c>
      <c r="M50" s="4"/>
      <c r="N50" s="4"/>
      <c r="O50" s="4"/>
      <c r="P50" t="s">
        <v>746</v>
      </c>
    </row>
    <row r="51" spans="1:16" ht="23.1" customHeight="1" x14ac:dyDescent="0.2">
      <c r="A51" s="9" t="s">
        <v>194</v>
      </c>
      <c r="B51" s="9"/>
      <c r="C51" s="9"/>
      <c r="D51" s="9" t="s">
        <v>195</v>
      </c>
      <c r="E51" s="9"/>
      <c r="F51" s="4" t="s">
        <v>196</v>
      </c>
      <c r="G51" s="4" t="s">
        <v>197</v>
      </c>
      <c r="H51" s="4" t="s">
        <v>80</v>
      </c>
      <c r="I51" s="5"/>
      <c r="J51" s="4"/>
      <c r="K51" s="6">
        <v>85.23</v>
      </c>
      <c r="L51" s="4">
        <f t="shared" si="0"/>
        <v>93.753000000000014</v>
      </c>
      <c r="M51" s="4"/>
      <c r="N51" s="4"/>
      <c r="O51" s="4"/>
      <c r="P51" t="s">
        <v>746</v>
      </c>
    </row>
    <row r="52" spans="1:16" ht="23.1" customHeight="1" x14ac:dyDescent="0.2">
      <c r="A52" s="9" t="s">
        <v>198</v>
      </c>
      <c r="B52" s="9"/>
      <c r="C52" s="9"/>
      <c r="D52" s="9" t="s">
        <v>199</v>
      </c>
      <c r="E52" s="9"/>
      <c r="F52" s="4" t="s">
        <v>200</v>
      </c>
      <c r="G52" s="4" t="s">
        <v>201</v>
      </c>
      <c r="H52" s="4" t="s">
        <v>80</v>
      </c>
      <c r="I52" s="5"/>
      <c r="J52" s="4"/>
      <c r="K52" s="6">
        <v>49.47</v>
      </c>
      <c r="L52" s="4">
        <f t="shared" si="0"/>
        <v>54.417000000000002</v>
      </c>
      <c r="M52" s="4"/>
      <c r="N52" s="4"/>
      <c r="O52" s="4"/>
      <c r="P52" t="s">
        <v>746</v>
      </c>
    </row>
    <row r="53" spans="1:16" ht="23.1" customHeight="1" x14ac:dyDescent="0.2">
      <c r="A53" s="9" t="s">
        <v>202</v>
      </c>
      <c r="B53" s="9"/>
      <c r="C53" s="9"/>
      <c r="D53" s="9" t="s">
        <v>203</v>
      </c>
      <c r="E53" s="9"/>
      <c r="F53" s="4" t="s">
        <v>204</v>
      </c>
      <c r="G53" s="4" t="s">
        <v>205</v>
      </c>
      <c r="H53" s="4" t="s">
        <v>80</v>
      </c>
      <c r="I53" s="5"/>
      <c r="J53" s="4"/>
      <c r="K53" s="6">
        <v>47.84</v>
      </c>
      <c r="L53" s="4">
        <f t="shared" si="0"/>
        <v>52.624000000000009</v>
      </c>
      <c r="M53" s="4"/>
      <c r="N53" s="4"/>
      <c r="O53" s="4"/>
      <c r="P53" t="s">
        <v>746</v>
      </c>
    </row>
    <row r="54" spans="1:16" ht="23.1" customHeight="1" x14ac:dyDescent="0.2">
      <c r="A54" s="9" t="s">
        <v>206</v>
      </c>
      <c r="B54" s="9"/>
      <c r="C54" s="9"/>
      <c r="D54" s="9" t="s">
        <v>207</v>
      </c>
      <c r="E54" s="9"/>
      <c r="F54" s="4" t="s">
        <v>208</v>
      </c>
      <c r="G54" s="4" t="s">
        <v>209</v>
      </c>
      <c r="H54" s="4" t="s">
        <v>80</v>
      </c>
      <c r="I54" s="5"/>
      <c r="J54" s="4"/>
      <c r="K54" s="6">
        <v>85.23</v>
      </c>
      <c r="L54" s="4">
        <f t="shared" si="0"/>
        <v>93.753000000000014</v>
      </c>
      <c r="M54" s="4"/>
      <c r="N54" s="4"/>
      <c r="O54" s="4"/>
      <c r="P54" t="s">
        <v>746</v>
      </c>
    </row>
    <row r="55" spans="1:16" ht="23.1" customHeight="1" x14ac:dyDescent="0.2">
      <c r="A55" s="9" t="s">
        <v>210</v>
      </c>
      <c r="B55" s="9"/>
      <c r="C55" s="9"/>
      <c r="D55" s="9" t="s">
        <v>211</v>
      </c>
      <c r="E55" s="9"/>
      <c r="F55" s="4" t="s">
        <v>212</v>
      </c>
      <c r="G55" s="4" t="s">
        <v>213</v>
      </c>
      <c r="H55" s="4" t="s">
        <v>80</v>
      </c>
      <c r="I55" s="5"/>
      <c r="J55" s="4"/>
      <c r="K55" s="6">
        <v>47.84</v>
      </c>
      <c r="L55" s="4">
        <f t="shared" si="0"/>
        <v>52.624000000000009</v>
      </c>
      <c r="M55" s="4"/>
      <c r="N55" s="4"/>
      <c r="O55" s="4"/>
      <c r="P55" t="s">
        <v>746</v>
      </c>
    </row>
    <row r="56" spans="1:16" ht="23.1" customHeight="1" x14ac:dyDescent="0.2">
      <c r="A56" s="9" t="s">
        <v>214</v>
      </c>
      <c r="B56" s="9"/>
      <c r="C56" s="9"/>
      <c r="D56" s="9" t="s">
        <v>215</v>
      </c>
      <c r="E56" s="9"/>
      <c r="F56" s="4" t="s">
        <v>216</v>
      </c>
      <c r="G56" s="4" t="s">
        <v>217</v>
      </c>
      <c r="H56" s="4" t="s">
        <v>80</v>
      </c>
      <c r="I56" s="5"/>
      <c r="J56" s="4"/>
      <c r="K56" s="6">
        <v>85.23</v>
      </c>
      <c r="L56" s="4">
        <f t="shared" si="0"/>
        <v>93.753000000000014</v>
      </c>
      <c r="M56" s="4"/>
      <c r="N56" s="4"/>
      <c r="O56" s="4"/>
      <c r="P56" t="s">
        <v>746</v>
      </c>
    </row>
    <row r="57" spans="1:16" ht="23.1" customHeight="1" x14ac:dyDescent="0.2">
      <c r="A57" s="9" t="s">
        <v>218</v>
      </c>
      <c r="B57" s="9"/>
      <c r="C57" s="9"/>
      <c r="D57" s="9" t="s">
        <v>219</v>
      </c>
      <c r="E57" s="9"/>
      <c r="F57" s="4" t="s">
        <v>220</v>
      </c>
      <c r="G57" s="4" t="s">
        <v>221</v>
      </c>
      <c r="H57" s="4" t="s">
        <v>80</v>
      </c>
      <c r="I57" s="5"/>
      <c r="J57" s="4"/>
      <c r="K57" s="6">
        <v>85.23</v>
      </c>
      <c r="L57" s="4">
        <f t="shared" si="0"/>
        <v>93.753000000000014</v>
      </c>
      <c r="M57" s="4"/>
      <c r="N57" s="4"/>
      <c r="O57" s="4"/>
      <c r="P57" t="s">
        <v>746</v>
      </c>
    </row>
    <row r="58" spans="1:16" ht="23.1" customHeight="1" x14ac:dyDescent="0.2">
      <c r="A58" s="9" t="s">
        <v>222</v>
      </c>
      <c r="B58" s="9"/>
      <c r="C58" s="9"/>
      <c r="D58" s="9" t="s">
        <v>223</v>
      </c>
      <c r="E58" s="9"/>
      <c r="F58" s="4" t="s">
        <v>224</v>
      </c>
      <c r="G58" s="4" t="s">
        <v>225</v>
      </c>
      <c r="H58" s="4" t="s">
        <v>80</v>
      </c>
      <c r="I58" s="5"/>
      <c r="J58" s="4"/>
      <c r="K58" s="6">
        <v>57.08</v>
      </c>
      <c r="L58" s="4">
        <f t="shared" si="0"/>
        <v>62.788000000000004</v>
      </c>
      <c r="M58" s="4"/>
      <c r="N58" s="4"/>
      <c r="O58" s="4"/>
      <c r="P58" t="s">
        <v>746</v>
      </c>
    </row>
    <row r="59" spans="1:16" ht="23.1" customHeight="1" x14ac:dyDescent="0.2">
      <c r="A59" s="9" t="s">
        <v>226</v>
      </c>
      <c r="B59" s="9"/>
      <c r="C59" s="9"/>
      <c r="D59" s="9" t="s">
        <v>227</v>
      </c>
      <c r="E59" s="9"/>
      <c r="F59" s="4" t="s">
        <v>228</v>
      </c>
      <c r="G59" s="4" t="s">
        <v>229</v>
      </c>
      <c r="H59" s="4" t="s">
        <v>80</v>
      </c>
      <c r="I59" s="5"/>
      <c r="J59" s="4"/>
      <c r="K59" s="6">
        <v>49.47</v>
      </c>
      <c r="L59" s="4">
        <f t="shared" si="0"/>
        <v>54.417000000000002</v>
      </c>
      <c r="M59" s="4"/>
      <c r="N59" s="4"/>
      <c r="O59" s="4"/>
      <c r="P59" t="s">
        <v>746</v>
      </c>
    </row>
    <row r="60" spans="1:16" ht="23.1" customHeight="1" x14ac:dyDescent="0.2">
      <c r="A60" s="9" t="s">
        <v>230</v>
      </c>
      <c r="B60" s="9"/>
      <c r="C60" s="9"/>
      <c r="D60" s="9" t="s">
        <v>231</v>
      </c>
      <c r="E60" s="9"/>
      <c r="F60" s="4" t="s">
        <v>232</v>
      </c>
      <c r="G60" s="4" t="s">
        <v>233</v>
      </c>
      <c r="H60" s="4" t="s">
        <v>80</v>
      </c>
      <c r="I60" s="7">
        <v>3.86</v>
      </c>
      <c r="J60" s="4" t="s">
        <v>234</v>
      </c>
      <c r="K60" s="6">
        <v>49.47</v>
      </c>
      <c r="L60" s="4">
        <f t="shared" si="0"/>
        <v>54.417000000000002</v>
      </c>
      <c r="M60" s="4" t="s">
        <v>235</v>
      </c>
      <c r="N60" s="4"/>
      <c r="O60" s="4"/>
      <c r="P60" t="s">
        <v>746</v>
      </c>
    </row>
    <row r="61" spans="1:16" ht="23.1" customHeight="1" x14ac:dyDescent="0.2">
      <c r="A61" s="9" t="s">
        <v>236</v>
      </c>
      <c r="B61" s="9"/>
      <c r="C61" s="9"/>
      <c r="D61" s="9" t="s">
        <v>237</v>
      </c>
      <c r="E61" s="9"/>
      <c r="F61" s="4" t="s">
        <v>238</v>
      </c>
      <c r="G61" s="4" t="s">
        <v>239</v>
      </c>
      <c r="H61" s="4" t="s">
        <v>80</v>
      </c>
      <c r="I61" s="5"/>
      <c r="J61" s="4"/>
      <c r="K61" s="6">
        <v>46.18</v>
      </c>
      <c r="L61" s="4">
        <f t="shared" si="0"/>
        <v>50.798000000000002</v>
      </c>
      <c r="M61" s="4"/>
      <c r="N61" s="4"/>
      <c r="O61" s="4"/>
      <c r="P61" t="s">
        <v>746</v>
      </c>
    </row>
    <row r="62" spans="1:16" ht="23.1" customHeight="1" x14ac:dyDescent="0.2">
      <c r="A62" s="9" t="s">
        <v>240</v>
      </c>
      <c r="B62" s="9"/>
      <c r="C62" s="9"/>
      <c r="D62" s="9" t="s">
        <v>241</v>
      </c>
      <c r="E62" s="9"/>
      <c r="F62" s="4" t="s">
        <v>242</v>
      </c>
      <c r="G62" s="4" t="s">
        <v>243</v>
      </c>
      <c r="H62" s="4" t="s">
        <v>80</v>
      </c>
      <c r="I62" s="5"/>
      <c r="J62" s="4"/>
      <c r="K62" s="6">
        <v>46.18</v>
      </c>
      <c r="L62" s="4">
        <f t="shared" si="0"/>
        <v>50.798000000000002</v>
      </c>
      <c r="M62" s="4"/>
      <c r="N62" s="4"/>
      <c r="O62" s="4"/>
      <c r="P62" t="s">
        <v>746</v>
      </c>
    </row>
    <row r="63" spans="1:16" ht="23.1" customHeight="1" x14ac:dyDescent="0.2">
      <c r="A63" s="9" t="s">
        <v>244</v>
      </c>
      <c r="B63" s="9"/>
      <c r="C63" s="9"/>
      <c r="D63" s="9" t="s">
        <v>245</v>
      </c>
      <c r="E63" s="9"/>
      <c r="F63" s="4" t="s">
        <v>246</v>
      </c>
      <c r="G63" s="4" t="s">
        <v>247</v>
      </c>
      <c r="H63" s="4" t="s">
        <v>80</v>
      </c>
      <c r="I63" s="5"/>
      <c r="J63" s="4"/>
      <c r="K63" s="6">
        <v>49.47</v>
      </c>
      <c r="L63" s="4">
        <f t="shared" si="0"/>
        <v>54.417000000000002</v>
      </c>
      <c r="M63" s="4"/>
      <c r="N63" s="4"/>
      <c r="O63" s="4"/>
      <c r="P63" t="s">
        <v>746</v>
      </c>
    </row>
    <row r="64" spans="1:16" ht="23.1" customHeight="1" x14ac:dyDescent="0.2">
      <c r="A64" s="9" t="s">
        <v>248</v>
      </c>
      <c r="B64" s="9"/>
      <c r="C64" s="9"/>
      <c r="D64" s="9" t="s">
        <v>249</v>
      </c>
      <c r="E64" s="9"/>
      <c r="F64" s="4" t="s">
        <v>250</v>
      </c>
      <c r="G64" s="4" t="s">
        <v>251</v>
      </c>
      <c r="H64" s="4" t="s">
        <v>80</v>
      </c>
      <c r="I64" s="7">
        <v>3.6</v>
      </c>
      <c r="J64" s="4"/>
      <c r="K64" s="6">
        <v>49.47</v>
      </c>
      <c r="L64" s="4">
        <f t="shared" si="0"/>
        <v>54.417000000000002</v>
      </c>
      <c r="M64" s="4" t="s">
        <v>85</v>
      </c>
      <c r="N64" s="4"/>
      <c r="O64" s="4"/>
      <c r="P64" t="s">
        <v>746</v>
      </c>
    </row>
    <row r="65" spans="1:16" ht="23.1" customHeight="1" x14ac:dyDescent="0.2">
      <c r="A65" s="9" t="s">
        <v>252</v>
      </c>
      <c r="B65" s="9"/>
      <c r="C65" s="9"/>
      <c r="D65" s="9" t="s">
        <v>253</v>
      </c>
      <c r="E65" s="9"/>
      <c r="F65" s="4" t="s">
        <v>254</v>
      </c>
      <c r="G65" s="4" t="s">
        <v>255</v>
      </c>
      <c r="H65" s="4" t="s">
        <v>80</v>
      </c>
      <c r="I65" s="5"/>
      <c r="J65" s="4"/>
      <c r="K65" s="6">
        <v>49.47</v>
      </c>
      <c r="L65" s="4">
        <f t="shared" si="0"/>
        <v>54.417000000000002</v>
      </c>
      <c r="M65" s="4"/>
      <c r="N65" s="4"/>
      <c r="O65" s="4"/>
      <c r="P65" t="s">
        <v>746</v>
      </c>
    </row>
    <row r="66" spans="1:16" ht="23.1" customHeight="1" x14ac:dyDescent="0.2">
      <c r="A66" s="9" t="s">
        <v>256</v>
      </c>
      <c r="B66" s="9"/>
      <c r="C66" s="9"/>
      <c r="D66" s="9" t="s">
        <v>257</v>
      </c>
      <c r="E66" s="9"/>
      <c r="F66" s="4" t="s">
        <v>258</v>
      </c>
      <c r="G66" s="4" t="s">
        <v>259</v>
      </c>
      <c r="H66" s="4" t="s">
        <v>80</v>
      </c>
      <c r="I66" s="5"/>
      <c r="J66" s="4"/>
      <c r="K66" s="6">
        <v>46.18</v>
      </c>
      <c r="L66" s="4">
        <f t="shared" si="0"/>
        <v>50.798000000000002</v>
      </c>
      <c r="M66" s="4"/>
      <c r="N66" s="4"/>
      <c r="O66" s="4"/>
      <c r="P66" t="s">
        <v>746</v>
      </c>
    </row>
    <row r="67" spans="1:16" ht="23.1" customHeight="1" x14ac:dyDescent="0.2">
      <c r="A67" s="9" t="s">
        <v>260</v>
      </c>
      <c r="B67" s="9"/>
      <c r="C67" s="9"/>
      <c r="D67" s="9" t="s">
        <v>261</v>
      </c>
      <c r="E67" s="9"/>
      <c r="F67" s="4" t="s">
        <v>262</v>
      </c>
      <c r="G67" s="4" t="s">
        <v>262</v>
      </c>
      <c r="H67" s="4" t="s">
        <v>80</v>
      </c>
      <c r="I67" s="5"/>
      <c r="J67" s="4"/>
      <c r="K67" s="6">
        <v>103.32</v>
      </c>
      <c r="L67" s="4">
        <f t="shared" si="0"/>
        <v>113.652</v>
      </c>
      <c r="M67" s="4"/>
      <c r="N67" s="4"/>
      <c r="O67" s="7">
        <v>0.44</v>
      </c>
      <c r="P67" t="s">
        <v>746</v>
      </c>
    </row>
    <row r="68" spans="1:16" ht="23.1" customHeight="1" x14ac:dyDescent="0.2">
      <c r="A68" s="9" t="s">
        <v>263</v>
      </c>
      <c r="B68" s="9"/>
      <c r="C68" s="9"/>
      <c r="D68" s="9" t="s">
        <v>264</v>
      </c>
      <c r="E68" s="9"/>
      <c r="F68" s="4" t="s">
        <v>265</v>
      </c>
      <c r="G68" s="4" t="s">
        <v>266</v>
      </c>
      <c r="H68" s="4" t="s">
        <v>80</v>
      </c>
      <c r="I68" s="7">
        <v>4.5670000000000002</v>
      </c>
      <c r="J68" s="4" t="s">
        <v>234</v>
      </c>
      <c r="K68" s="6">
        <v>57.08</v>
      </c>
      <c r="L68" s="4">
        <f t="shared" si="0"/>
        <v>62.788000000000004</v>
      </c>
      <c r="M68" s="4" t="s">
        <v>85</v>
      </c>
      <c r="N68" s="4"/>
      <c r="O68" s="4"/>
      <c r="P68" t="s">
        <v>746</v>
      </c>
    </row>
    <row r="69" spans="1:16" ht="23.1" customHeight="1" x14ac:dyDescent="0.2">
      <c r="A69" s="9" t="s">
        <v>267</v>
      </c>
      <c r="B69" s="9"/>
      <c r="C69" s="9"/>
      <c r="D69" s="9" t="s">
        <v>268</v>
      </c>
      <c r="E69" s="9"/>
      <c r="F69" s="4" t="s">
        <v>269</v>
      </c>
      <c r="G69" s="4" t="s">
        <v>270</v>
      </c>
      <c r="H69" s="4" t="s">
        <v>80</v>
      </c>
      <c r="I69" s="5"/>
      <c r="J69" s="4"/>
      <c r="K69" s="6">
        <v>85.23</v>
      </c>
      <c r="L69" s="4">
        <f t="shared" si="0"/>
        <v>93.753000000000014</v>
      </c>
      <c r="M69" s="4"/>
      <c r="N69" s="4"/>
      <c r="O69" s="7">
        <v>0.8</v>
      </c>
      <c r="P69" t="s">
        <v>746</v>
      </c>
    </row>
    <row r="70" spans="1:16" ht="23.1" customHeight="1" x14ac:dyDescent="0.2">
      <c r="A70" s="9" t="s">
        <v>271</v>
      </c>
      <c r="B70" s="9"/>
      <c r="C70" s="9"/>
      <c r="D70" s="9" t="s">
        <v>272</v>
      </c>
      <c r="E70" s="9"/>
      <c r="F70" s="4" t="s">
        <v>273</v>
      </c>
      <c r="G70" s="4" t="s">
        <v>274</v>
      </c>
      <c r="H70" s="4" t="s">
        <v>80</v>
      </c>
      <c r="I70" s="7">
        <v>4.4000000000000004</v>
      </c>
      <c r="J70" s="4"/>
      <c r="K70" s="6">
        <v>57.08</v>
      </c>
      <c r="L70" s="4">
        <f t="shared" si="0"/>
        <v>62.788000000000004</v>
      </c>
      <c r="M70" s="4" t="s">
        <v>85</v>
      </c>
      <c r="N70" s="4"/>
      <c r="O70" s="7">
        <v>0.41499999999999998</v>
      </c>
      <c r="P70" t="s">
        <v>746</v>
      </c>
    </row>
    <row r="71" spans="1:16" ht="23.1" customHeight="1" x14ac:dyDescent="0.2">
      <c r="A71" s="9" t="s">
        <v>275</v>
      </c>
      <c r="B71" s="9"/>
      <c r="C71" s="9"/>
      <c r="D71" s="9" t="s">
        <v>276</v>
      </c>
      <c r="E71" s="9"/>
      <c r="F71" s="4" t="s">
        <v>277</v>
      </c>
      <c r="G71" s="4" t="s">
        <v>278</v>
      </c>
      <c r="H71" s="4" t="s">
        <v>80</v>
      </c>
      <c r="I71" s="5"/>
      <c r="J71" s="4"/>
      <c r="K71" s="6">
        <v>49.47</v>
      </c>
      <c r="L71" s="4">
        <f t="shared" si="0"/>
        <v>54.417000000000002</v>
      </c>
      <c r="M71" s="4"/>
      <c r="N71" s="4"/>
      <c r="O71" s="7">
        <v>3.45</v>
      </c>
      <c r="P71" t="s">
        <v>746</v>
      </c>
    </row>
    <row r="72" spans="1:16" ht="23.1" customHeight="1" x14ac:dyDescent="0.2">
      <c r="A72" s="9" t="s">
        <v>279</v>
      </c>
      <c r="B72" s="9"/>
      <c r="C72" s="9"/>
      <c r="D72" s="9" t="s">
        <v>280</v>
      </c>
      <c r="E72" s="9"/>
      <c r="F72" s="4" t="s">
        <v>281</v>
      </c>
      <c r="G72" s="4" t="s">
        <v>282</v>
      </c>
      <c r="H72" s="4" t="s">
        <v>80</v>
      </c>
      <c r="I72" s="7">
        <v>3.5750000000000002</v>
      </c>
      <c r="J72" s="4" t="s">
        <v>234</v>
      </c>
      <c r="K72" s="6">
        <v>49.47</v>
      </c>
      <c r="L72" s="4">
        <f t="shared" ref="L72:L135" si="1">K72*1.1</f>
        <v>54.417000000000002</v>
      </c>
      <c r="M72" s="4" t="s">
        <v>85</v>
      </c>
      <c r="N72" s="4"/>
      <c r="O72" s="4"/>
      <c r="P72" t="s">
        <v>746</v>
      </c>
    </row>
    <row r="73" spans="1:16" ht="23.1" customHeight="1" x14ac:dyDescent="0.2">
      <c r="A73" s="9" t="s">
        <v>283</v>
      </c>
      <c r="B73" s="9"/>
      <c r="C73" s="9"/>
      <c r="D73" s="9" t="s">
        <v>284</v>
      </c>
      <c r="E73" s="9"/>
      <c r="F73" s="4" t="s">
        <v>285</v>
      </c>
      <c r="G73" s="4" t="s">
        <v>286</v>
      </c>
      <c r="H73" s="4" t="s">
        <v>80</v>
      </c>
      <c r="I73" s="5"/>
      <c r="J73" s="4" t="s">
        <v>234</v>
      </c>
      <c r="K73" s="6">
        <v>49.47</v>
      </c>
      <c r="L73" s="4">
        <f t="shared" si="1"/>
        <v>54.417000000000002</v>
      </c>
      <c r="M73" s="4"/>
      <c r="N73" s="4"/>
      <c r="O73" s="4"/>
      <c r="P73" t="s">
        <v>746</v>
      </c>
    </row>
    <row r="74" spans="1:16" ht="23.1" customHeight="1" x14ac:dyDescent="0.2">
      <c r="A74" s="9" t="s">
        <v>287</v>
      </c>
      <c r="B74" s="9"/>
      <c r="C74" s="9"/>
      <c r="D74" s="9" t="s">
        <v>288</v>
      </c>
      <c r="E74" s="9"/>
      <c r="F74" s="4" t="s">
        <v>289</v>
      </c>
      <c r="G74" s="4" t="s">
        <v>290</v>
      </c>
      <c r="H74" s="4" t="s">
        <v>80</v>
      </c>
      <c r="I74" s="5"/>
      <c r="J74" s="4" t="s">
        <v>234</v>
      </c>
      <c r="K74" s="6">
        <v>49.47</v>
      </c>
      <c r="L74" s="4">
        <f t="shared" si="1"/>
        <v>54.417000000000002</v>
      </c>
      <c r="M74" s="4"/>
      <c r="N74" s="4"/>
      <c r="O74" s="7">
        <v>2.25</v>
      </c>
      <c r="P74" t="s">
        <v>746</v>
      </c>
    </row>
    <row r="75" spans="1:16" ht="23.1" customHeight="1" x14ac:dyDescent="0.2">
      <c r="A75" s="9" t="s">
        <v>291</v>
      </c>
      <c r="B75" s="9"/>
      <c r="C75" s="9"/>
      <c r="D75" s="9" t="s">
        <v>292</v>
      </c>
      <c r="E75" s="9"/>
      <c r="F75" s="4" t="s">
        <v>293</v>
      </c>
      <c r="G75" s="4" t="s">
        <v>294</v>
      </c>
      <c r="H75" s="4" t="s">
        <v>80</v>
      </c>
      <c r="I75" s="7">
        <v>3.6</v>
      </c>
      <c r="J75" s="4" t="s">
        <v>234</v>
      </c>
      <c r="K75" s="6">
        <v>50</v>
      </c>
      <c r="L75" s="4">
        <f t="shared" si="1"/>
        <v>55.000000000000007</v>
      </c>
      <c r="M75" s="4" t="s">
        <v>295</v>
      </c>
      <c r="N75" s="4" t="s">
        <v>296</v>
      </c>
      <c r="O75" s="7">
        <v>3.39</v>
      </c>
      <c r="P75" t="s">
        <v>746</v>
      </c>
    </row>
    <row r="76" spans="1:16" ht="23.1" customHeight="1" x14ac:dyDescent="0.2">
      <c r="A76" s="9" t="s">
        <v>297</v>
      </c>
      <c r="B76" s="9"/>
      <c r="C76" s="9"/>
      <c r="D76" s="9" t="s">
        <v>298</v>
      </c>
      <c r="E76" s="9"/>
      <c r="F76" s="4" t="s">
        <v>299</v>
      </c>
      <c r="G76" s="4" t="s">
        <v>300</v>
      </c>
      <c r="H76" s="4" t="s">
        <v>80</v>
      </c>
      <c r="I76" s="7">
        <v>4.2</v>
      </c>
      <c r="J76" s="4" t="s">
        <v>234</v>
      </c>
      <c r="K76" s="6">
        <v>46</v>
      </c>
      <c r="L76" s="4">
        <f t="shared" si="1"/>
        <v>50.6</v>
      </c>
      <c r="M76" s="4" t="s">
        <v>301</v>
      </c>
      <c r="N76" s="4" t="s">
        <v>296</v>
      </c>
      <c r="O76" s="7">
        <v>9.5</v>
      </c>
      <c r="P76" t="s">
        <v>746</v>
      </c>
    </row>
    <row r="77" spans="1:16" ht="23.1" customHeight="1" x14ac:dyDescent="0.2">
      <c r="A77" s="9" t="s">
        <v>302</v>
      </c>
      <c r="B77" s="9"/>
      <c r="C77" s="9"/>
      <c r="D77" s="9" t="s">
        <v>303</v>
      </c>
      <c r="E77" s="9"/>
      <c r="F77" s="4" t="s">
        <v>304</v>
      </c>
      <c r="G77" s="4" t="s">
        <v>305</v>
      </c>
      <c r="H77" s="4" t="s">
        <v>80</v>
      </c>
      <c r="I77" s="7">
        <v>6</v>
      </c>
      <c r="J77" s="4" t="s">
        <v>234</v>
      </c>
      <c r="K77" s="6">
        <v>200</v>
      </c>
      <c r="L77" s="4">
        <f t="shared" si="1"/>
        <v>220.00000000000003</v>
      </c>
      <c r="M77" s="4" t="s">
        <v>306</v>
      </c>
      <c r="N77" s="4" t="s">
        <v>296</v>
      </c>
      <c r="O77" s="4"/>
      <c r="P77" t="s">
        <v>746</v>
      </c>
    </row>
    <row r="78" spans="1:16" ht="23.1" customHeight="1" x14ac:dyDescent="0.2">
      <c r="A78" s="9" t="s">
        <v>307</v>
      </c>
      <c r="B78" s="9"/>
      <c r="C78" s="9"/>
      <c r="D78" s="9" t="s">
        <v>308</v>
      </c>
      <c r="E78" s="9"/>
      <c r="F78" s="4" t="s">
        <v>309</v>
      </c>
      <c r="G78" s="4" t="s">
        <v>310</v>
      </c>
      <c r="H78" s="4" t="s">
        <v>80</v>
      </c>
      <c r="I78" s="7">
        <v>6</v>
      </c>
      <c r="J78" s="4" t="s">
        <v>234</v>
      </c>
      <c r="K78" s="6">
        <v>270</v>
      </c>
      <c r="L78" s="4">
        <f t="shared" si="1"/>
        <v>297</v>
      </c>
      <c r="M78" s="4" t="s">
        <v>306</v>
      </c>
      <c r="N78" s="4" t="s">
        <v>296</v>
      </c>
      <c r="O78" s="4"/>
      <c r="P78" t="s">
        <v>746</v>
      </c>
    </row>
    <row r="79" spans="1:16" ht="23.1" customHeight="1" x14ac:dyDescent="0.2">
      <c r="A79" s="9" t="s">
        <v>311</v>
      </c>
      <c r="B79" s="9"/>
      <c r="C79" s="9"/>
      <c r="D79" s="9" t="s">
        <v>312</v>
      </c>
      <c r="E79" s="9"/>
      <c r="F79" s="4" t="s">
        <v>313</v>
      </c>
      <c r="G79" s="4" t="s">
        <v>313</v>
      </c>
      <c r="H79" s="4" t="s">
        <v>80</v>
      </c>
      <c r="I79" s="5"/>
      <c r="J79" s="4" t="s">
        <v>314</v>
      </c>
      <c r="K79" s="6">
        <v>228</v>
      </c>
      <c r="L79" s="4">
        <f t="shared" si="1"/>
        <v>250.8</v>
      </c>
      <c r="M79" s="4" t="s">
        <v>315</v>
      </c>
      <c r="N79" s="4" t="s">
        <v>296</v>
      </c>
      <c r="O79" s="4"/>
      <c r="P79" t="s">
        <v>746</v>
      </c>
    </row>
    <row r="80" spans="1:16" ht="23.1" customHeight="1" x14ac:dyDescent="0.2">
      <c r="A80" s="9" t="s">
        <v>316</v>
      </c>
      <c r="B80" s="9"/>
      <c r="C80" s="9"/>
      <c r="D80" s="9" t="s">
        <v>317</v>
      </c>
      <c r="E80" s="9"/>
      <c r="F80" s="4" t="s">
        <v>318</v>
      </c>
      <c r="G80" s="4" t="s">
        <v>319</v>
      </c>
      <c r="H80" s="4" t="s">
        <v>80</v>
      </c>
      <c r="I80" s="5"/>
      <c r="J80" s="4" t="s">
        <v>314</v>
      </c>
      <c r="K80" s="6">
        <v>200</v>
      </c>
      <c r="L80" s="4">
        <f t="shared" si="1"/>
        <v>220.00000000000003</v>
      </c>
      <c r="M80" s="4" t="s">
        <v>320</v>
      </c>
      <c r="N80" s="4" t="s">
        <v>296</v>
      </c>
      <c r="O80" s="4"/>
      <c r="P80" t="s">
        <v>746</v>
      </c>
    </row>
    <row r="81" spans="1:16" ht="23.1" customHeight="1" x14ac:dyDescent="0.2">
      <c r="A81" s="9" t="s">
        <v>321</v>
      </c>
      <c r="B81" s="9"/>
      <c r="C81" s="9"/>
      <c r="D81" s="9" t="s">
        <v>322</v>
      </c>
      <c r="E81" s="9"/>
      <c r="F81" s="4" t="s">
        <v>323</v>
      </c>
      <c r="G81" s="4" t="s">
        <v>324</v>
      </c>
      <c r="H81" s="4" t="s">
        <v>80</v>
      </c>
      <c r="I81" s="5"/>
      <c r="J81" s="4" t="s">
        <v>314</v>
      </c>
      <c r="K81" s="6">
        <v>525</v>
      </c>
      <c r="L81" s="4">
        <f t="shared" si="1"/>
        <v>577.5</v>
      </c>
      <c r="M81" s="4" t="s">
        <v>315</v>
      </c>
      <c r="N81" s="4" t="s">
        <v>296</v>
      </c>
      <c r="O81" s="4"/>
      <c r="P81" t="s">
        <v>746</v>
      </c>
    </row>
    <row r="82" spans="1:16" ht="23.1" customHeight="1" x14ac:dyDescent="0.2">
      <c r="A82" s="9" t="s">
        <v>325</v>
      </c>
      <c r="B82" s="9"/>
      <c r="C82" s="9"/>
      <c r="D82" s="9" t="s">
        <v>326</v>
      </c>
      <c r="E82" s="9"/>
      <c r="F82" s="4" t="s">
        <v>327</v>
      </c>
      <c r="G82" s="4" t="s">
        <v>327</v>
      </c>
      <c r="H82" s="4" t="s">
        <v>80</v>
      </c>
      <c r="I82" s="5"/>
      <c r="J82" s="4" t="s">
        <v>314</v>
      </c>
      <c r="K82" s="6">
        <v>180</v>
      </c>
      <c r="L82" s="4">
        <f t="shared" si="1"/>
        <v>198.00000000000003</v>
      </c>
      <c r="M82" s="4" t="s">
        <v>328</v>
      </c>
      <c r="N82" s="4" t="s">
        <v>296</v>
      </c>
      <c r="O82" s="7">
        <v>6</v>
      </c>
      <c r="P82" t="s">
        <v>746</v>
      </c>
    </row>
    <row r="83" spans="1:16" ht="23.1" customHeight="1" x14ac:dyDescent="0.2">
      <c r="A83" s="9" t="s">
        <v>329</v>
      </c>
      <c r="B83" s="9"/>
      <c r="C83" s="9"/>
      <c r="D83" s="9" t="s">
        <v>330</v>
      </c>
      <c r="E83" s="9"/>
      <c r="F83" s="4" t="s">
        <v>331</v>
      </c>
      <c r="G83" s="4" t="s">
        <v>331</v>
      </c>
      <c r="H83" s="4" t="s">
        <v>80</v>
      </c>
      <c r="I83" s="7">
        <v>3.73</v>
      </c>
      <c r="J83" s="4" t="s">
        <v>314</v>
      </c>
      <c r="K83" s="6">
        <v>180</v>
      </c>
      <c r="L83" s="4">
        <f t="shared" si="1"/>
        <v>198.00000000000003</v>
      </c>
      <c r="M83" s="4" t="s">
        <v>332</v>
      </c>
      <c r="N83" s="4" t="s">
        <v>296</v>
      </c>
      <c r="O83" s="7">
        <v>3.9</v>
      </c>
      <c r="P83" t="s">
        <v>746</v>
      </c>
    </row>
    <row r="84" spans="1:16" ht="23.1" customHeight="1" x14ac:dyDescent="0.2">
      <c r="A84" s="9" t="s">
        <v>333</v>
      </c>
      <c r="B84" s="9"/>
      <c r="C84" s="9"/>
      <c r="D84" s="9" t="s">
        <v>334</v>
      </c>
      <c r="E84" s="9"/>
      <c r="F84" s="4" t="s">
        <v>335</v>
      </c>
      <c r="G84" s="4" t="s">
        <v>336</v>
      </c>
      <c r="H84" s="4" t="s">
        <v>80</v>
      </c>
      <c r="I84" s="7">
        <v>3.73</v>
      </c>
      <c r="J84" s="4" t="s">
        <v>314</v>
      </c>
      <c r="K84" s="6">
        <v>180</v>
      </c>
      <c r="L84" s="4">
        <f t="shared" si="1"/>
        <v>198.00000000000003</v>
      </c>
      <c r="M84" s="4" t="s">
        <v>332</v>
      </c>
      <c r="N84" s="4" t="s">
        <v>296</v>
      </c>
      <c r="O84" s="7">
        <v>4.8520000000000003</v>
      </c>
      <c r="P84" t="s">
        <v>746</v>
      </c>
    </row>
    <row r="85" spans="1:16" ht="23.1" customHeight="1" x14ac:dyDescent="0.2">
      <c r="A85" s="9" t="s">
        <v>337</v>
      </c>
      <c r="B85" s="9"/>
      <c r="C85" s="9"/>
      <c r="D85" s="9" t="s">
        <v>338</v>
      </c>
      <c r="E85" s="9"/>
      <c r="F85" s="4" t="s">
        <v>339</v>
      </c>
      <c r="G85" s="4" t="s">
        <v>339</v>
      </c>
      <c r="H85" s="4" t="s">
        <v>80</v>
      </c>
      <c r="I85" s="5"/>
      <c r="J85" s="4" t="s">
        <v>314</v>
      </c>
      <c r="K85" s="6">
        <v>180</v>
      </c>
      <c r="L85" s="4">
        <f t="shared" si="1"/>
        <v>198.00000000000003</v>
      </c>
      <c r="M85" s="4" t="s">
        <v>320</v>
      </c>
      <c r="N85" s="4" t="s">
        <v>296</v>
      </c>
      <c r="O85" s="7">
        <v>1</v>
      </c>
      <c r="P85" t="s">
        <v>746</v>
      </c>
    </row>
    <row r="86" spans="1:16" ht="23.1" customHeight="1" x14ac:dyDescent="0.2">
      <c r="A86" s="9" t="s">
        <v>340</v>
      </c>
      <c r="B86" s="9"/>
      <c r="C86" s="9"/>
      <c r="D86" s="9" t="s">
        <v>341</v>
      </c>
      <c r="E86" s="9"/>
      <c r="F86" s="4" t="s">
        <v>342</v>
      </c>
      <c r="G86" s="4" t="s">
        <v>343</v>
      </c>
      <c r="H86" s="4" t="s">
        <v>80</v>
      </c>
      <c r="I86" s="7">
        <v>8.5</v>
      </c>
      <c r="J86" s="4" t="s">
        <v>344</v>
      </c>
      <c r="K86" s="6">
        <v>66</v>
      </c>
      <c r="L86" s="4">
        <f t="shared" si="1"/>
        <v>72.600000000000009</v>
      </c>
      <c r="M86" s="4" t="s">
        <v>345</v>
      </c>
      <c r="N86" s="4" t="s">
        <v>296</v>
      </c>
      <c r="O86" s="7">
        <v>1.8</v>
      </c>
      <c r="P86" t="s">
        <v>746</v>
      </c>
    </row>
    <row r="87" spans="1:16" ht="23.1" customHeight="1" x14ac:dyDescent="0.2">
      <c r="A87" s="9" t="s">
        <v>346</v>
      </c>
      <c r="B87" s="9"/>
      <c r="C87" s="9"/>
      <c r="D87" s="9" t="s">
        <v>347</v>
      </c>
      <c r="E87" s="9"/>
      <c r="F87" s="4" t="s">
        <v>348</v>
      </c>
      <c r="G87" s="4" t="s">
        <v>348</v>
      </c>
      <c r="H87" s="4" t="s">
        <v>80</v>
      </c>
      <c r="I87" s="7">
        <v>4</v>
      </c>
      <c r="J87" s="4" t="s">
        <v>234</v>
      </c>
      <c r="K87" s="6">
        <v>161</v>
      </c>
      <c r="L87" s="4">
        <f t="shared" si="1"/>
        <v>177.10000000000002</v>
      </c>
      <c r="M87" s="4" t="s">
        <v>349</v>
      </c>
      <c r="N87" s="4" t="s">
        <v>296</v>
      </c>
      <c r="O87" s="4"/>
      <c r="P87" t="s">
        <v>746</v>
      </c>
    </row>
    <row r="88" spans="1:16" ht="23.1" customHeight="1" x14ac:dyDescent="0.2">
      <c r="A88" s="9" t="s">
        <v>350</v>
      </c>
      <c r="B88" s="9"/>
      <c r="C88" s="9"/>
      <c r="D88" s="9" t="s">
        <v>351</v>
      </c>
      <c r="E88" s="9"/>
      <c r="F88" s="4" t="s">
        <v>352</v>
      </c>
      <c r="G88" s="4" t="s">
        <v>353</v>
      </c>
      <c r="H88" s="4" t="s">
        <v>80</v>
      </c>
      <c r="I88" s="7">
        <v>4.5</v>
      </c>
      <c r="J88" s="4" t="s">
        <v>234</v>
      </c>
      <c r="K88" s="6">
        <v>66</v>
      </c>
      <c r="L88" s="4">
        <f t="shared" si="1"/>
        <v>72.600000000000009</v>
      </c>
      <c r="M88" s="4" t="s">
        <v>354</v>
      </c>
      <c r="N88" s="4" t="s">
        <v>296</v>
      </c>
      <c r="O88" s="4"/>
      <c r="P88" t="s">
        <v>746</v>
      </c>
    </row>
    <row r="89" spans="1:16" ht="23.1" customHeight="1" x14ac:dyDescent="0.2">
      <c r="A89" s="9" t="s">
        <v>355</v>
      </c>
      <c r="B89" s="9"/>
      <c r="C89" s="9"/>
      <c r="D89" s="9" t="s">
        <v>356</v>
      </c>
      <c r="E89" s="9"/>
      <c r="F89" s="4" t="s">
        <v>357</v>
      </c>
      <c r="G89" s="4" t="s">
        <v>358</v>
      </c>
      <c r="H89" s="4" t="s">
        <v>80</v>
      </c>
      <c r="I89" s="7">
        <v>6</v>
      </c>
      <c r="J89" s="4" t="s">
        <v>234</v>
      </c>
      <c r="K89" s="6">
        <v>70</v>
      </c>
      <c r="L89" s="4">
        <f t="shared" si="1"/>
        <v>77</v>
      </c>
      <c r="M89" s="4" t="s">
        <v>306</v>
      </c>
      <c r="N89" s="4" t="s">
        <v>296</v>
      </c>
      <c r="O89" s="4"/>
      <c r="P89" t="s">
        <v>746</v>
      </c>
    </row>
    <row r="90" spans="1:16" ht="23.1" customHeight="1" x14ac:dyDescent="0.2">
      <c r="A90" s="9" t="s">
        <v>359</v>
      </c>
      <c r="B90" s="9"/>
      <c r="C90" s="9"/>
      <c r="D90" s="9" t="s">
        <v>360</v>
      </c>
      <c r="E90" s="9"/>
      <c r="F90" s="4" t="s">
        <v>361</v>
      </c>
      <c r="G90" s="4" t="s">
        <v>362</v>
      </c>
      <c r="H90" s="4" t="s">
        <v>80</v>
      </c>
      <c r="I90" s="7">
        <v>4.5</v>
      </c>
      <c r="J90" s="4" t="s">
        <v>234</v>
      </c>
      <c r="K90" s="6">
        <v>44</v>
      </c>
      <c r="L90" s="4">
        <f t="shared" si="1"/>
        <v>48.400000000000006</v>
      </c>
      <c r="M90" s="4" t="s">
        <v>363</v>
      </c>
      <c r="N90" s="4" t="s">
        <v>296</v>
      </c>
      <c r="O90" s="4"/>
      <c r="P90" t="s">
        <v>746</v>
      </c>
    </row>
    <row r="91" spans="1:16" ht="23.1" customHeight="1" x14ac:dyDescent="0.2">
      <c r="A91" s="9" t="s">
        <v>364</v>
      </c>
      <c r="B91" s="9"/>
      <c r="C91" s="9"/>
      <c r="D91" s="9" t="s">
        <v>365</v>
      </c>
      <c r="E91" s="9"/>
      <c r="F91" s="4" t="s">
        <v>366</v>
      </c>
      <c r="G91" s="4" t="s">
        <v>367</v>
      </c>
      <c r="H91" s="4" t="s">
        <v>80</v>
      </c>
      <c r="I91" s="7">
        <v>17.2</v>
      </c>
      <c r="J91" s="4" t="s">
        <v>234</v>
      </c>
      <c r="K91" s="6">
        <v>140</v>
      </c>
      <c r="L91" s="4">
        <f t="shared" si="1"/>
        <v>154</v>
      </c>
      <c r="M91" s="4" t="s">
        <v>345</v>
      </c>
      <c r="N91" s="4" t="s">
        <v>296</v>
      </c>
      <c r="O91" s="4"/>
      <c r="P91" t="s">
        <v>746</v>
      </c>
    </row>
    <row r="92" spans="1:16" ht="23.1" customHeight="1" x14ac:dyDescent="0.2">
      <c r="A92" s="9" t="s">
        <v>368</v>
      </c>
      <c r="B92" s="9"/>
      <c r="C92" s="9"/>
      <c r="D92" s="9" t="s">
        <v>369</v>
      </c>
      <c r="E92" s="9"/>
      <c r="F92" s="4" t="s">
        <v>370</v>
      </c>
      <c r="G92" s="4" t="s">
        <v>370</v>
      </c>
      <c r="H92" s="4" t="s">
        <v>80</v>
      </c>
      <c r="I92" s="7">
        <v>4</v>
      </c>
      <c r="J92" s="4" t="s">
        <v>234</v>
      </c>
      <c r="K92" s="4"/>
      <c r="L92" s="4">
        <f t="shared" si="1"/>
        <v>0</v>
      </c>
      <c r="M92" s="4" t="s">
        <v>371</v>
      </c>
      <c r="N92" s="4" t="s">
        <v>296</v>
      </c>
      <c r="O92" s="4"/>
      <c r="P92" t="s">
        <v>746</v>
      </c>
    </row>
    <row r="93" spans="1:16" ht="23.1" customHeight="1" x14ac:dyDescent="0.2">
      <c r="A93" s="9" t="s">
        <v>372</v>
      </c>
      <c r="B93" s="9"/>
      <c r="C93" s="9"/>
      <c r="D93" s="9" t="s">
        <v>373</v>
      </c>
      <c r="E93" s="9"/>
      <c r="F93" s="4" t="s">
        <v>374</v>
      </c>
      <c r="G93" s="4" t="s">
        <v>375</v>
      </c>
      <c r="H93" s="4" t="s">
        <v>80</v>
      </c>
      <c r="I93" s="7">
        <v>9</v>
      </c>
      <c r="J93" s="4" t="s">
        <v>234</v>
      </c>
      <c r="K93" s="6">
        <v>70</v>
      </c>
      <c r="L93" s="4">
        <f t="shared" si="1"/>
        <v>77</v>
      </c>
      <c r="M93" s="4" t="s">
        <v>376</v>
      </c>
      <c r="N93" s="4" t="s">
        <v>296</v>
      </c>
      <c r="O93" s="4"/>
      <c r="P93" t="s">
        <v>746</v>
      </c>
    </row>
    <row r="94" spans="1:16" ht="23.1" customHeight="1" x14ac:dyDescent="0.2">
      <c r="A94" s="9" t="s">
        <v>377</v>
      </c>
      <c r="B94" s="9"/>
      <c r="C94" s="9"/>
      <c r="D94" s="9" t="s">
        <v>378</v>
      </c>
      <c r="E94" s="9"/>
      <c r="F94" s="4" t="s">
        <v>379</v>
      </c>
      <c r="G94" s="4" t="s">
        <v>380</v>
      </c>
      <c r="H94" s="4" t="s">
        <v>80</v>
      </c>
      <c r="I94" s="7">
        <v>3.44</v>
      </c>
      <c r="J94" s="4" t="s">
        <v>234</v>
      </c>
      <c r="K94" s="6">
        <v>50</v>
      </c>
      <c r="L94" s="4">
        <f t="shared" si="1"/>
        <v>55.000000000000007</v>
      </c>
      <c r="M94" s="4" t="s">
        <v>295</v>
      </c>
      <c r="N94" s="4" t="s">
        <v>296</v>
      </c>
      <c r="O94" s="4"/>
      <c r="P94" t="s">
        <v>746</v>
      </c>
    </row>
    <row r="95" spans="1:16" ht="23.1" customHeight="1" x14ac:dyDescent="0.2">
      <c r="A95" s="9" t="s">
        <v>381</v>
      </c>
      <c r="B95" s="9"/>
      <c r="C95" s="9"/>
      <c r="D95" s="9" t="s">
        <v>382</v>
      </c>
      <c r="E95" s="9"/>
      <c r="F95" s="4" t="s">
        <v>383</v>
      </c>
      <c r="G95" s="4" t="s">
        <v>383</v>
      </c>
      <c r="H95" s="4" t="s">
        <v>80</v>
      </c>
      <c r="I95" s="7">
        <v>4</v>
      </c>
      <c r="J95" s="4" t="s">
        <v>234</v>
      </c>
      <c r="K95" s="4"/>
      <c r="L95" s="4">
        <f t="shared" si="1"/>
        <v>0</v>
      </c>
      <c r="M95" s="4" t="s">
        <v>371</v>
      </c>
      <c r="N95" s="4" t="s">
        <v>296</v>
      </c>
      <c r="O95" s="4"/>
      <c r="P95" t="s">
        <v>746</v>
      </c>
    </row>
    <row r="96" spans="1:16" ht="23.1" customHeight="1" x14ac:dyDescent="0.2">
      <c r="A96" s="9" t="s">
        <v>384</v>
      </c>
      <c r="B96" s="9"/>
      <c r="C96" s="9"/>
      <c r="D96" s="9" t="s">
        <v>385</v>
      </c>
      <c r="E96" s="9"/>
      <c r="F96" s="4" t="s">
        <v>386</v>
      </c>
      <c r="G96" s="4" t="s">
        <v>387</v>
      </c>
      <c r="H96" s="4" t="s">
        <v>80</v>
      </c>
      <c r="I96" s="7">
        <v>4.6660000000000004</v>
      </c>
      <c r="J96" s="4" t="s">
        <v>234</v>
      </c>
      <c r="K96" s="4"/>
      <c r="L96" s="4">
        <f t="shared" si="1"/>
        <v>0</v>
      </c>
      <c r="M96" s="4" t="s">
        <v>363</v>
      </c>
      <c r="N96" s="4" t="s">
        <v>296</v>
      </c>
      <c r="O96" s="4"/>
      <c r="P96" t="s">
        <v>746</v>
      </c>
    </row>
    <row r="97" spans="1:16" ht="23.1" customHeight="1" x14ac:dyDescent="0.2">
      <c r="A97" s="9" t="s">
        <v>388</v>
      </c>
      <c r="B97" s="9"/>
      <c r="C97" s="9"/>
      <c r="D97" s="9" t="s">
        <v>389</v>
      </c>
      <c r="E97" s="9"/>
      <c r="F97" s="4" t="s">
        <v>390</v>
      </c>
      <c r="G97" s="4" t="s">
        <v>390</v>
      </c>
      <c r="H97" s="4" t="s">
        <v>80</v>
      </c>
      <c r="I97" s="7">
        <v>3.6</v>
      </c>
      <c r="J97" s="4"/>
      <c r="K97" s="6">
        <v>160</v>
      </c>
      <c r="L97" s="4">
        <f t="shared" si="1"/>
        <v>176</v>
      </c>
      <c r="M97" s="4" t="s">
        <v>391</v>
      </c>
      <c r="N97" s="4" t="s">
        <v>296</v>
      </c>
      <c r="O97" s="7">
        <v>1</v>
      </c>
      <c r="P97" t="s">
        <v>746</v>
      </c>
    </row>
    <row r="98" spans="1:16" ht="23.1" customHeight="1" x14ac:dyDescent="0.2">
      <c r="A98" s="9" t="s">
        <v>392</v>
      </c>
      <c r="B98" s="9"/>
      <c r="C98" s="9"/>
      <c r="D98" s="9" t="s">
        <v>393</v>
      </c>
      <c r="E98" s="9"/>
      <c r="F98" s="4" t="s">
        <v>393</v>
      </c>
      <c r="G98" s="4" t="s">
        <v>393</v>
      </c>
      <c r="H98" s="4" t="s">
        <v>394</v>
      </c>
      <c r="I98" s="5"/>
      <c r="J98" s="4"/>
      <c r="K98" s="6">
        <v>50</v>
      </c>
      <c r="L98" s="4">
        <f t="shared" si="1"/>
        <v>55.000000000000007</v>
      </c>
      <c r="M98" s="4" t="s">
        <v>395</v>
      </c>
      <c r="N98" s="4" t="s">
        <v>296</v>
      </c>
      <c r="O98" s="7">
        <v>2</v>
      </c>
      <c r="P98" t="s">
        <v>746</v>
      </c>
    </row>
    <row r="99" spans="1:16" ht="23.1" customHeight="1" x14ac:dyDescent="0.2">
      <c r="A99" s="9" t="s">
        <v>396</v>
      </c>
      <c r="B99" s="9"/>
      <c r="C99" s="9"/>
      <c r="D99" s="9" t="s">
        <v>397</v>
      </c>
      <c r="E99" s="9"/>
      <c r="F99" s="4" t="s">
        <v>398</v>
      </c>
      <c r="G99" s="4" t="s">
        <v>399</v>
      </c>
      <c r="H99" s="4" t="s">
        <v>80</v>
      </c>
      <c r="I99" s="7">
        <v>3.44</v>
      </c>
      <c r="J99" s="4" t="s">
        <v>234</v>
      </c>
      <c r="K99" s="6">
        <v>40</v>
      </c>
      <c r="L99" s="4">
        <f t="shared" si="1"/>
        <v>44</v>
      </c>
      <c r="M99" s="4" t="s">
        <v>295</v>
      </c>
      <c r="N99" s="4" t="s">
        <v>296</v>
      </c>
      <c r="O99" s="7">
        <v>0.8</v>
      </c>
      <c r="P99" t="s">
        <v>746</v>
      </c>
    </row>
    <row r="100" spans="1:16" ht="23.1" customHeight="1" x14ac:dyDescent="0.2">
      <c r="A100" s="9" t="s">
        <v>400</v>
      </c>
      <c r="B100" s="9"/>
      <c r="C100" s="9"/>
      <c r="D100" s="9" t="s">
        <v>401</v>
      </c>
      <c r="E100" s="9"/>
      <c r="F100" s="4" t="s">
        <v>402</v>
      </c>
      <c r="G100" s="4" t="s">
        <v>403</v>
      </c>
      <c r="H100" s="4" t="s">
        <v>80</v>
      </c>
      <c r="I100" s="7">
        <v>4.4000000000000004</v>
      </c>
      <c r="J100" s="4" t="s">
        <v>234</v>
      </c>
      <c r="K100" s="6">
        <v>49.35</v>
      </c>
      <c r="L100" s="4">
        <f t="shared" si="1"/>
        <v>54.285000000000004</v>
      </c>
      <c r="M100" s="4" t="s">
        <v>404</v>
      </c>
      <c r="N100" s="4" t="s">
        <v>296</v>
      </c>
      <c r="O100" s="7">
        <v>65.400000000000006</v>
      </c>
      <c r="P100" t="s">
        <v>746</v>
      </c>
    </row>
    <row r="101" spans="1:16" ht="23.1" customHeight="1" x14ac:dyDescent="0.2">
      <c r="A101" s="9" t="s">
        <v>405</v>
      </c>
      <c r="B101" s="9"/>
      <c r="C101" s="9"/>
      <c r="D101" s="9" t="s">
        <v>406</v>
      </c>
      <c r="E101" s="9"/>
      <c r="F101" s="4" t="s">
        <v>407</v>
      </c>
      <c r="G101" s="4" t="s">
        <v>408</v>
      </c>
      <c r="H101" s="4" t="s">
        <v>80</v>
      </c>
      <c r="I101" s="7">
        <v>4.5</v>
      </c>
      <c r="J101" s="4" t="s">
        <v>234</v>
      </c>
      <c r="K101" s="4"/>
      <c r="L101" s="4">
        <f t="shared" si="1"/>
        <v>0</v>
      </c>
      <c r="M101" s="4" t="s">
        <v>363</v>
      </c>
      <c r="N101" s="4" t="s">
        <v>296</v>
      </c>
      <c r="O101" s="7">
        <v>45</v>
      </c>
      <c r="P101" t="s">
        <v>746</v>
      </c>
    </row>
    <row r="102" spans="1:16" ht="23.1" customHeight="1" x14ac:dyDescent="0.2">
      <c r="A102" s="9" t="s">
        <v>409</v>
      </c>
      <c r="B102" s="9"/>
      <c r="C102" s="9"/>
      <c r="D102" s="9" t="s">
        <v>410</v>
      </c>
      <c r="E102" s="9"/>
      <c r="F102" s="4" t="s">
        <v>411</v>
      </c>
      <c r="G102" s="4" t="s">
        <v>412</v>
      </c>
      <c r="H102" s="4" t="s">
        <v>80</v>
      </c>
      <c r="I102" s="7">
        <v>3.44</v>
      </c>
      <c r="J102" s="4" t="s">
        <v>234</v>
      </c>
      <c r="K102" s="6">
        <v>55</v>
      </c>
      <c r="L102" s="4">
        <f t="shared" si="1"/>
        <v>60.500000000000007</v>
      </c>
      <c r="M102" s="4" t="s">
        <v>295</v>
      </c>
      <c r="N102" s="4" t="s">
        <v>296</v>
      </c>
      <c r="O102" s="7">
        <v>95.4</v>
      </c>
      <c r="P102" t="s">
        <v>746</v>
      </c>
    </row>
    <row r="103" spans="1:16" ht="23.1" customHeight="1" x14ac:dyDescent="0.2">
      <c r="A103" s="9" t="s">
        <v>413</v>
      </c>
      <c r="B103" s="9"/>
      <c r="C103" s="9"/>
      <c r="D103" s="9" t="s">
        <v>414</v>
      </c>
      <c r="E103" s="9"/>
      <c r="F103" s="4" t="s">
        <v>415</v>
      </c>
      <c r="G103" s="4" t="s">
        <v>416</v>
      </c>
      <c r="H103" s="4" t="s">
        <v>80</v>
      </c>
      <c r="I103" s="7">
        <v>8.5</v>
      </c>
      <c r="J103" s="4" t="s">
        <v>234</v>
      </c>
      <c r="K103" s="4"/>
      <c r="L103" s="4">
        <f t="shared" si="1"/>
        <v>0</v>
      </c>
      <c r="M103" s="4" t="s">
        <v>376</v>
      </c>
      <c r="N103" s="4" t="s">
        <v>296</v>
      </c>
      <c r="O103" s="7">
        <v>94</v>
      </c>
      <c r="P103" t="s">
        <v>746</v>
      </c>
    </row>
    <row r="104" spans="1:16" ht="23.1" customHeight="1" x14ac:dyDescent="0.2">
      <c r="A104" s="9" t="s">
        <v>417</v>
      </c>
      <c r="B104" s="9"/>
      <c r="C104" s="9"/>
      <c r="D104" s="9" t="s">
        <v>418</v>
      </c>
      <c r="E104" s="9"/>
      <c r="F104" s="4" t="s">
        <v>419</v>
      </c>
      <c r="G104" s="4" t="s">
        <v>420</v>
      </c>
      <c r="H104" s="4" t="s">
        <v>80</v>
      </c>
      <c r="I104" s="7">
        <v>6.9</v>
      </c>
      <c r="J104" s="4" t="s">
        <v>234</v>
      </c>
      <c r="K104" s="4"/>
      <c r="L104" s="4">
        <f t="shared" si="1"/>
        <v>0</v>
      </c>
      <c r="M104" s="4" t="s">
        <v>421</v>
      </c>
      <c r="N104" s="4" t="s">
        <v>296</v>
      </c>
      <c r="O104" s="7">
        <v>0.2</v>
      </c>
      <c r="P104" t="s">
        <v>746</v>
      </c>
    </row>
    <row r="105" spans="1:16" ht="23.1" customHeight="1" x14ac:dyDescent="0.2">
      <c r="A105" s="9" t="s">
        <v>422</v>
      </c>
      <c r="B105" s="9"/>
      <c r="C105" s="9"/>
      <c r="D105" s="9" t="s">
        <v>423</v>
      </c>
      <c r="E105" s="9"/>
      <c r="F105" s="4" t="s">
        <v>424</v>
      </c>
      <c r="G105" s="4" t="s">
        <v>425</v>
      </c>
      <c r="H105" s="4" t="s">
        <v>80</v>
      </c>
      <c r="I105" s="7">
        <v>8.6660000000000004</v>
      </c>
      <c r="J105" s="4" t="s">
        <v>234</v>
      </c>
      <c r="K105" s="6">
        <v>60.01</v>
      </c>
      <c r="L105" s="4">
        <f t="shared" si="1"/>
        <v>66.01100000000001</v>
      </c>
      <c r="M105" s="4" t="s">
        <v>295</v>
      </c>
      <c r="N105" s="4" t="s">
        <v>296</v>
      </c>
      <c r="O105" s="7">
        <v>2.1</v>
      </c>
      <c r="P105" t="s">
        <v>746</v>
      </c>
    </row>
    <row r="106" spans="1:16" ht="23.1" customHeight="1" x14ac:dyDescent="0.2">
      <c r="A106" s="9" t="s">
        <v>426</v>
      </c>
      <c r="B106" s="9"/>
      <c r="C106" s="9"/>
      <c r="D106" s="9" t="s">
        <v>427</v>
      </c>
      <c r="E106" s="9"/>
      <c r="F106" s="4" t="s">
        <v>428</v>
      </c>
      <c r="G106" s="4" t="s">
        <v>429</v>
      </c>
      <c r="H106" s="4" t="s">
        <v>80</v>
      </c>
      <c r="I106" s="7">
        <v>1.3</v>
      </c>
      <c r="J106" s="4" t="s">
        <v>234</v>
      </c>
      <c r="K106" s="6">
        <v>44</v>
      </c>
      <c r="L106" s="4">
        <f t="shared" si="1"/>
        <v>48.400000000000006</v>
      </c>
      <c r="M106" s="4" t="s">
        <v>371</v>
      </c>
      <c r="N106" s="4" t="s">
        <v>296</v>
      </c>
      <c r="O106" s="7">
        <v>7</v>
      </c>
      <c r="P106" t="s">
        <v>746</v>
      </c>
    </row>
    <row r="107" spans="1:16" ht="23.1" customHeight="1" x14ac:dyDescent="0.2">
      <c r="A107" s="9" t="s">
        <v>430</v>
      </c>
      <c r="B107" s="9"/>
      <c r="C107" s="9"/>
      <c r="D107" s="9" t="s">
        <v>431</v>
      </c>
      <c r="E107" s="9"/>
      <c r="F107" s="4" t="s">
        <v>432</v>
      </c>
      <c r="G107" s="4" t="s">
        <v>433</v>
      </c>
      <c r="H107" s="4" t="s">
        <v>80</v>
      </c>
      <c r="I107" s="7">
        <v>1.5</v>
      </c>
      <c r="J107" s="4" t="s">
        <v>234</v>
      </c>
      <c r="K107" s="6">
        <v>44</v>
      </c>
      <c r="L107" s="4">
        <f t="shared" si="1"/>
        <v>48.400000000000006</v>
      </c>
      <c r="M107" s="4" t="s">
        <v>434</v>
      </c>
      <c r="N107" s="4" t="s">
        <v>296</v>
      </c>
      <c r="O107" s="7">
        <v>7.44</v>
      </c>
      <c r="P107" t="s">
        <v>746</v>
      </c>
    </row>
    <row r="108" spans="1:16" ht="23.1" customHeight="1" x14ac:dyDescent="0.2">
      <c r="A108" s="9" t="s">
        <v>435</v>
      </c>
      <c r="B108" s="9"/>
      <c r="C108" s="9"/>
      <c r="D108" s="9" t="s">
        <v>436</v>
      </c>
      <c r="E108" s="9"/>
      <c r="F108" s="4" t="s">
        <v>437</v>
      </c>
      <c r="G108" s="4" t="s">
        <v>438</v>
      </c>
      <c r="H108" s="4" t="s">
        <v>80</v>
      </c>
      <c r="I108" s="7">
        <v>1.5</v>
      </c>
      <c r="J108" s="4" t="s">
        <v>234</v>
      </c>
      <c r="K108" s="4"/>
      <c r="L108" s="4">
        <f t="shared" si="1"/>
        <v>0</v>
      </c>
      <c r="M108" s="4" t="s">
        <v>439</v>
      </c>
      <c r="N108" s="4" t="s">
        <v>296</v>
      </c>
      <c r="O108" s="7">
        <v>0.4</v>
      </c>
      <c r="P108" t="s">
        <v>746</v>
      </c>
    </row>
    <row r="109" spans="1:16" ht="23.1" customHeight="1" x14ac:dyDescent="0.2">
      <c r="A109" s="9" t="s">
        <v>440</v>
      </c>
      <c r="B109" s="9"/>
      <c r="C109" s="9"/>
      <c r="D109" s="9" t="s">
        <v>441</v>
      </c>
      <c r="E109" s="9"/>
      <c r="F109" s="4" t="s">
        <v>442</v>
      </c>
      <c r="G109" s="4" t="s">
        <v>442</v>
      </c>
      <c r="H109" s="4" t="s">
        <v>80</v>
      </c>
      <c r="I109" s="7">
        <v>4</v>
      </c>
      <c r="J109" s="4" t="s">
        <v>234</v>
      </c>
      <c r="K109" s="4"/>
      <c r="L109" s="4">
        <f t="shared" si="1"/>
        <v>0</v>
      </c>
      <c r="M109" s="4" t="s">
        <v>295</v>
      </c>
      <c r="N109" s="4" t="s">
        <v>296</v>
      </c>
      <c r="O109" s="7">
        <v>5</v>
      </c>
      <c r="P109" t="s">
        <v>746</v>
      </c>
    </row>
    <row r="110" spans="1:16" ht="23.1" customHeight="1" x14ac:dyDescent="0.2">
      <c r="A110" s="9" t="s">
        <v>443</v>
      </c>
      <c r="B110" s="9"/>
      <c r="C110" s="9"/>
      <c r="D110" s="9" t="s">
        <v>444</v>
      </c>
      <c r="E110" s="9"/>
      <c r="F110" s="4" t="s">
        <v>445</v>
      </c>
      <c r="G110" s="4" t="s">
        <v>446</v>
      </c>
      <c r="H110" s="4" t="s">
        <v>80</v>
      </c>
      <c r="I110" s="7">
        <v>1.4</v>
      </c>
      <c r="J110" s="4" t="s">
        <v>234</v>
      </c>
      <c r="K110" s="6">
        <v>44</v>
      </c>
      <c r="L110" s="4">
        <f t="shared" si="1"/>
        <v>48.400000000000006</v>
      </c>
      <c r="M110" s="4" t="s">
        <v>447</v>
      </c>
      <c r="N110" s="4" t="s">
        <v>296</v>
      </c>
      <c r="O110" s="7">
        <v>15</v>
      </c>
      <c r="P110" t="s">
        <v>746</v>
      </c>
    </row>
    <row r="111" spans="1:16" ht="23.1" customHeight="1" x14ac:dyDescent="0.2">
      <c r="A111" s="9" t="s">
        <v>448</v>
      </c>
      <c r="B111" s="9"/>
      <c r="C111" s="9"/>
      <c r="D111" s="9" t="s">
        <v>449</v>
      </c>
      <c r="E111" s="9"/>
      <c r="F111" s="4" t="s">
        <v>450</v>
      </c>
      <c r="G111" s="4" t="s">
        <v>451</v>
      </c>
      <c r="H111" s="4" t="s">
        <v>80</v>
      </c>
      <c r="I111" s="7">
        <v>1.8</v>
      </c>
      <c r="J111" s="4" t="s">
        <v>234</v>
      </c>
      <c r="K111" s="6">
        <v>44</v>
      </c>
      <c r="L111" s="4">
        <f t="shared" si="1"/>
        <v>48.400000000000006</v>
      </c>
      <c r="M111" s="4" t="s">
        <v>452</v>
      </c>
      <c r="N111" s="4" t="s">
        <v>296</v>
      </c>
      <c r="O111" s="7">
        <v>15.5</v>
      </c>
      <c r="P111" t="s">
        <v>746</v>
      </c>
    </row>
    <row r="112" spans="1:16" ht="23.1" customHeight="1" x14ac:dyDescent="0.2">
      <c r="A112" s="9" t="s">
        <v>453</v>
      </c>
      <c r="B112" s="9"/>
      <c r="C112" s="9"/>
      <c r="D112" s="9" t="s">
        <v>454</v>
      </c>
      <c r="E112" s="9"/>
      <c r="F112" s="4" t="s">
        <v>455</v>
      </c>
      <c r="G112" s="4" t="s">
        <v>456</v>
      </c>
      <c r="H112" s="4" t="s">
        <v>80</v>
      </c>
      <c r="I112" s="7">
        <v>1.4</v>
      </c>
      <c r="J112" s="4" t="s">
        <v>234</v>
      </c>
      <c r="K112" s="6">
        <v>44</v>
      </c>
      <c r="L112" s="4">
        <f t="shared" si="1"/>
        <v>48.400000000000006</v>
      </c>
      <c r="M112" s="4" t="s">
        <v>447</v>
      </c>
      <c r="N112" s="4" t="s">
        <v>296</v>
      </c>
      <c r="O112" s="7">
        <v>14.1</v>
      </c>
      <c r="P112" t="s">
        <v>746</v>
      </c>
    </row>
    <row r="113" spans="1:16" ht="23.1" customHeight="1" x14ac:dyDescent="0.2">
      <c r="A113" s="9" t="s">
        <v>457</v>
      </c>
      <c r="B113" s="9"/>
      <c r="C113" s="9"/>
      <c r="D113" s="9" t="s">
        <v>458</v>
      </c>
      <c r="E113" s="9"/>
      <c r="F113" s="4" t="s">
        <v>459</v>
      </c>
      <c r="G113" s="4" t="s">
        <v>460</v>
      </c>
      <c r="H113" s="4" t="s">
        <v>80</v>
      </c>
      <c r="I113" s="7">
        <v>3.8</v>
      </c>
      <c r="J113" s="4" t="s">
        <v>234</v>
      </c>
      <c r="K113" s="4"/>
      <c r="L113" s="4">
        <f t="shared" si="1"/>
        <v>0</v>
      </c>
      <c r="M113" s="4" t="s">
        <v>295</v>
      </c>
      <c r="N113" s="4" t="s">
        <v>296</v>
      </c>
      <c r="O113" s="7">
        <v>2</v>
      </c>
      <c r="P113" t="s">
        <v>746</v>
      </c>
    </row>
    <row r="114" spans="1:16" ht="23.1" customHeight="1" x14ac:dyDescent="0.2">
      <c r="A114" s="9" t="s">
        <v>461</v>
      </c>
      <c r="B114" s="9"/>
      <c r="C114" s="9"/>
      <c r="D114" s="9" t="s">
        <v>462</v>
      </c>
      <c r="E114" s="9"/>
      <c r="F114" s="4" t="s">
        <v>463</v>
      </c>
      <c r="G114" s="4" t="s">
        <v>464</v>
      </c>
      <c r="H114" s="4" t="s">
        <v>80</v>
      </c>
      <c r="I114" s="7">
        <v>4.5</v>
      </c>
      <c r="J114" s="4" t="s">
        <v>234</v>
      </c>
      <c r="K114" s="4"/>
      <c r="L114" s="4">
        <f t="shared" si="1"/>
        <v>0</v>
      </c>
      <c r="M114" s="4" t="s">
        <v>465</v>
      </c>
      <c r="N114" s="4" t="s">
        <v>296</v>
      </c>
      <c r="O114" s="7">
        <v>61.085000000000001</v>
      </c>
      <c r="P114" t="s">
        <v>746</v>
      </c>
    </row>
    <row r="115" spans="1:16" ht="23.1" customHeight="1" x14ac:dyDescent="0.2">
      <c r="A115" s="9" t="s">
        <v>466</v>
      </c>
      <c r="B115" s="9"/>
      <c r="C115" s="9"/>
      <c r="D115" s="9" t="s">
        <v>467</v>
      </c>
      <c r="E115" s="9"/>
      <c r="F115" s="4" t="s">
        <v>468</v>
      </c>
      <c r="G115" s="4" t="s">
        <v>468</v>
      </c>
      <c r="H115" s="4" t="s">
        <v>80</v>
      </c>
      <c r="I115" s="7">
        <v>8.5</v>
      </c>
      <c r="J115" s="4"/>
      <c r="K115" s="6">
        <v>240</v>
      </c>
      <c r="L115" s="4">
        <f t="shared" si="1"/>
        <v>264</v>
      </c>
      <c r="M115" s="4" t="s">
        <v>469</v>
      </c>
      <c r="N115" s="4" t="s">
        <v>296</v>
      </c>
      <c r="O115" s="7">
        <v>8.5500000000000007</v>
      </c>
      <c r="P115" t="s">
        <v>746</v>
      </c>
    </row>
    <row r="116" spans="1:16" ht="23.1" customHeight="1" x14ac:dyDescent="0.2">
      <c r="A116" s="9" t="s">
        <v>470</v>
      </c>
      <c r="B116" s="9"/>
      <c r="C116" s="9"/>
      <c r="D116" s="9" t="s">
        <v>471</v>
      </c>
      <c r="E116" s="9"/>
      <c r="F116" s="4" t="s">
        <v>472</v>
      </c>
      <c r="G116" s="4" t="s">
        <v>473</v>
      </c>
      <c r="H116" s="4" t="s">
        <v>80</v>
      </c>
      <c r="I116" s="7">
        <v>1.9</v>
      </c>
      <c r="J116" s="4"/>
      <c r="K116" s="6">
        <v>42</v>
      </c>
      <c r="L116" s="4">
        <f t="shared" si="1"/>
        <v>46.2</v>
      </c>
      <c r="M116" s="4" t="s">
        <v>404</v>
      </c>
      <c r="N116" s="4" t="s">
        <v>296</v>
      </c>
      <c r="O116" s="7">
        <v>6.5</v>
      </c>
      <c r="P116" t="s">
        <v>746</v>
      </c>
    </row>
    <row r="117" spans="1:16" ht="23.1" customHeight="1" x14ac:dyDescent="0.2">
      <c r="A117" s="9" t="s">
        <v>474</v>
      </c>
      <c r="B117" s="9"/>
      <c r="C117" s="9"/>
      <c r="D117" s="9" t="s">
        <v>475</v>
      </c>
      <c r="E117" s="9"/>
      <c r="F117" s="4" t="s">
        <v>476</v>
      </c>
      <c r="G117" s="4" t="s">
        <v>477</v>
      </c>
      <c r="H117" s="4" t="s">
        <v>80</v>
      </c>
      <c r="I117" s="5"/>
      <c r="J117" s="4"/>
      <c r="K117" s="6">
        <v>197</v>
      </c>
      <c r="L117" s="4">
        <f t="shared" si="1"/>
        <v>216.70000000000002</v>
      </c>
      <c r="M117" s="4" t="s">
        <v>478</v>
      </c>
      <c r="N117" s="4" t="s">
        <v>296</v>
      </c>
      <c r="O117" s="4"/>
      <c r="P117" t="s">
        <v>746</v>
      </c>
    </row>
    <row r="118" spans="1:16" ht="23.1" customHeight="1" x14ac:dyDescent="0.2">
      <c r="A118" s="9" t="s">
        <v>479</v>
      </c>
      <c r="B118" s="9"/>
      <c r="C118" s="9"/>
      <c r="D118" s="9" t="s">
        <v>480</v>
      </c>
      <c r="E118" s="9"/>
      <c r="F118" s="4" t="s">
        <v>481</v>
      </c>
      <c r="G118" s="4" t="s">
        <v>482</v>
      </c>
      <c r="H118" s="4" t="s">
        <v>80</v>
      </c>
      <c r="I118" s="7">
        <v>15</v>
      </c>
      <c r="J118" s="4"/>
      <c r="K118" s="6">
        <v>180</v>
      </c>
      <c r="L118" s="4">
        <f t="shared" si="1"/>
        <v>198.00000000000003</v>
      </c>
      <c r="M118" s="4"/>
      <c r="N118" s="4" t="s">
        <v>296</v>
      </c>
      <c r="O118" s="7">
        <v>3.3</v>
      </c>
      <c r="P118" t="s">
        <v>746</v>
      </c>
    </row>
    <row r="119" spans="1:16" ht="23.1" customHeight="1" x14ac:dyDescent="0.2">
      <c r="A119" s="9" t="s">
        <v>483</v>
      </c>
      <c r="B119" s="9"/>
      <c r="C119" s="9"/>
      <c r="D119" s="9" t="s">
        <v>484</v>
      </c>
      <c r="E119" s="9"/>
      <c r="F119" s="4" t="s">
        <v>485</v>
      </c>
      <c r="G119" s="4" t="s">
        <v>486</v>
      </c>
      <c r="H119" s="4" t="s">
        <v>80</v>
      </c>
      <c r="I119" s="5"/>
      <c r="J119" s="4"/>
      <c r="K119" s="6">
        <v>44</v>
      </c>
      <c r="L119" s="4">
        <f t="shared" si="1"/>
        <v>48.400000000000006</v>
      </c>
      <c r="M119" s="4"/>
      <c r="N119" s="4" t="s">
        <v>296</v>
      </c>
      <c r="O119" s="7">
        <v>11</v>
      </c>
      <c r="P119" t="s">
        <v>746</v>
      </c>
    </row>
    <row r="120" spans="1:16" ht="23.1" customHeight="1" x14ac:dyDescent="0.2">
      <c r="A120" s="9" t="s">
        <v>487</v>
      </c>
      <c r="B120" s="9"/>
      <c r="C120" s="9"/>
      <c r="D120" s="9" t="s">
        <v>488</v>
      </c>
      <c r="E120" s="9"/>
      <c r="F120" s="4" t="s">
        <v>489</v>
      </c>
      <c r="G120" s="4" t="s">
        <v>490</v>
      </c>
      <c r="H120" s="4" t="s">
        <v>80</v>
      </c>
      <c r="I120" s="7">
        <v>3.8</v>
      </c>
      <c r="J120" s="4"/>
      <c r="K120" s="6">
        <v>44</v>
      </c>
      <c r="L120" s="4">
        <f t="shared" si="1"/>
        <v>48.400000000000006</v>
      </c>
      <c r="M120" s="4" t="s">
        <v>363</v>
      </c>
      <c r="N120" s="4" t="s">
        <v>296</v>
      </c>
      <c r="O120" s="7">
        <v>0.8</v>
      </c>
      <c r="P120" t="s">
        <v>746</v>
      </c>
    </row>
    <row r="121" spans="1:16" ht="23.1" customHeight="1" x14ac:dyDescent="0.2">
      <c r="A121" s="9" t="s">
        <v>491</v>
      </c>
      <c r="B121" s="9"/>
      <c r="C121" s="9"/>
      <c r="D121" s="9" t="s">
        <v>492</v>
      </c>
      <c r="E121" s="9"/>
      <c r="F121" s="4" t="s">
        <v>493</v>
      </c>
      <c r="G121" s="4" t="s">
        <v>494</v>
      </c>
      <c r="H121" s="4" t="s">
        <v>80</v>
      </c>
      <c r="I121" s="7">
        <v>1.9</v>
      </c>
      <c r="J121" s="4"/>
      <c r="K121" s="6">
        <v>44</v>
      </c>
      <c r="L121" s="4">
        <f t="shared" si="1"/>
        <v>48.400000000000006</v>
      </c>
      <c r="M121" s="4" t="s">
        <v>404</v>
      </c>
      <c r="N121" s="4" t="s">
        <v>296</v>
      </c>
      <c r="O121" s="7">
        <v>21.44</v>
      </c>
      <c r="P121" t="s">
        <v>746</v>
      </c>
    </row>
    <row r="122" spans="1:16" ht="23.1" customHeight="1" x14ac:dyDescent="0.2">
      <c r="A122" s="9" t="s">
        <v>495</v>
      </c>
      <c r="B122" s="9"/>
      <c r="C122" s="9"/>
      <c r="D122" s="9" t="s">
        <v>496</v>
      </c>
      <c r="E122" s="9"/>
      <c r="F122" s="4" t="s">
        <v>497</v>
      </c>
      <c r="G122" s="4" t="s">
        <v>498</v>
      </c>
      <c r="H122" s="4" t="s">
        <v>80</v>
      </c>
      <c r="I122" s="7">
        <v>3.4</v>
      </c>
      <c r="J122" s="4"/>
      <c r="K122" s="6">
        <v>44</v>
      </c>
      <c r="L122" s="4">
        <f t="shared" si="1"/>
        <v>48.400000000000006</v>
      </c>
      <c r="M122" s="4" t="s">
        <v>404</v>
      </c>
      <c r="N122" s="4" t="s">
        <v>296</v>
      </c>
      <c r="O122" s="7">
        <v>5.9</v>
      </c>
      <c r="P122" t="s">
        <v>746</v>
      </c>
    </row>
    <row r="123" spans="1:16" ht="23.1" customHeight="1" x14ac:dyDescent="0.2">
      <c r="A123" s="9" t="s">
        <v>499</v>
      </c>
      <c r="B123" s="9"/>
      <c r="C123" s="9"/>
      <c r="D123" s="9" t="s">
        <v>500</v>
      </c>
      <c r="E123" s="9"/>
      <c r="F123" s="4" t="s">
        <v>501</v>
      </c>
      <c r="G123" s="4" t="s">
        <v>501</v>
      </c>
      <c r="H123" s="4" t="s">
        <v>80</v>
      </c>
      <c r="I123" s="5"/>
      <c r="J123" s="4"/>
      <c r="K123" s="4"/>
      <c r="L123" s="4">
        <f t="shared" si="1"/>
        <v>0</v>
      </c>
      <c r="M123" s="4" t="s">
        <v>306</v>
      </c>
      <c r="N123" s="4" t="s">
        <v>296</v>
      </c>
      <c r="O123" s="7">
        <v>1.9</v>
      </c>
      <c r="P123" t="s">
        <v>746</v>
      </c>
    </row>
    <row r="124" spans="1:16" ht="23.1" customHeight="1" x14ac:dyDescent="0.2">
      <c r="A124" s="9" t="s">
        <v>502</v>
      </c>
      <c r="B124" s="9"/>
      <c r="C124" s="9"/>
      <c r="D124" s="9" t="s">
        <v>503</v>
      </c>
      <c r="E124" s="9"/>
      <c r="F124" s="4" t="s">
        <v>504</v>
      </c>
      <c r="G124" s="4" t="s">
        <v>504</v>
      </c>
      <c r="H124" s="4" t="s">
        <v>80</v>
      </c>
      <c r="I124" s="5"/>
      <c r="J124" s="4"/>
      <c r="K124" s="6">
        <v>189</v>
      </c>
      <c r="L124" s="4">
        <f t="shared" si="1"/>
        <v>207.9</v>
      </c>
      <c r="M124" s="4"/>
      <c r="N124" s="4" t="s">
        <v>296</v>
      </c>
      <c r="O124" s="7">
        <v>5</v>
      </c>
      <c r="P124" t="s">
        <v>746</v>
      </c>
    </row>
    <row r="125" spans="1:16" ht="23.1" customHeight="1" x14ac:dyDescent="0.2">
      <c r="A125" s="9" t="s">
        <v>505</v>
      </c>
      <c r="B125" s="9"/>
      <c r="C125" s="9"/>
      <c r="D125" s="9" t="s">
        <v>506</v>
      </c>
      <c r="E125" s="9"/>
      <c r="F125" s="4" t="s">
        <v>507</v>
      </c>
      <c r="G125" s="4" t="s">
        <v>507</v>
      </c>
      <c r="H125" s="4" t="s">
        <v>80</v>
      </c>
      <c r="I125" s="7">
        <v>4.5</v>
      </c>
      <c r="J125" s="4"/>
      <c r="K125" s="6">
        <v>160</v>
      </c>
      <c r="L125" s="4">
        <f t="shared" si="1"/>
        <v>176</v>
      </c>
      <c r="M125" s="4" t="s">
        <v>391</v>
      </c>
      <c r="N125" s="4" t="s">
        <v>296</v>
      </c>
      <c r="O125" s="7">
        <v>0.4</v>
      </c>
      <c r="P125" t="s">
        <v>746</v>
      </c>
    </row>
    <row r="126" spans="1:16" ht="23.1" customHeight="1" x14ac:dyDescent="0.2">
      <c r="A126" s="9" t="s">
        <v>508</v>
      </c>
      <c r="B126" s="9"/>
      <c r="C126" s="9"/>
      <c r="D126" s="9" t="s">
        <v>509</v>
      </c>
      <c r="E126" s="9"/>
      <c r="F126" s="4" t="s">
        <v>510</v>
      </c>
      <c r="G126" s="4" t="s">
        <v>510</v>
      </c>
      <c r="H126" s="4" t="s">
        <v>80</v>
      </c>
      <c r="I126" s="7">
        <v>8.5</v>
      </c>
      <c r="J126" s="4"/>
      <c r="K126" s="6">
        <v>164.57</v>
      </c>
      <c r="L126" s="4">
        <f t="shared" si="1"/>
        <v>181.02700000000002</v>
      </c>
      <c r="M126" s="4" t="s">
        <v>511</v>
      </c>
      <c r="N126" s="4" t="s">
        <v>296</v>
      </c>
      <c r="O126" s="7">
        <v>1.2</v>
      </c>
      <c r="P126" t="s">
        <v>746</v>
      </c>
    </row>
    <row r="127" spans="1:16" ht="23.1" customHeight="1" x14ac:dyDescent="0.2">
      <c r="A127" s="9" t="s">
        <v>512</v>
      </c>
      <c r="B127" s="9"/>
      <c r="C127" s="9"/>
      <c r="D127" s="9" t="s">
        <v>513</v>
      </c>
      <c r="E127" s="9"/>
      <c r="F127" s="4" t="s">
        <v>514</v>
      </c>
      <c r="G127" s="4" t="s">
        <v>515</v>
      </c>
      <c r="H127" s="4" t="s">
        <v>80</v>
      </c>
      <c r="I127" s="5"/>
      <c r="J127" s="4"/>
      <c r="K127" s="4"/>
      <c r="L127" s="4">
        <f t="shared" si="1"/>
        <v>0</v>
      </c>
      <c r="M127" s="4"/>
      <c r="N127" s="4" t="s">
        <v>296</v>
      </c>
      <c r="O127" s="7">
        <v>3</v>
      </c>
      <c r="P127" t="s">
        <v>746</v>
      </c>
    </row>
    <row r="128" spans="1:16" ht="23.1" customHeight="1" x14ac:dyDescent="0.2">
      <c r="A128" s="9" t="s">
        <v>516</v>
      </c>
      <c r="B128" s="9"/>
      <c r="C128" s="9"/>
      <c r="D128" s="9" t="s">
        <v>517</v>
      </c>
      <c r="E128" s="9"/>
      <c r="F128" s="4" t="s">
        <v>518</v>
      </c>
      <c r="G128" s="4" t="s">
        <v>519</v>
      </c>
      <c r="H128" s="4" t="s">
        <v>80</v>
      </c>
      <c r="I128" s="5"/>
      <c r="J128" s="4"/>
      <c r="K128" s="6">
        <v>180</v>
      </c>
      <c r="L128" s="4">
        <f t="shared" si="1"/>
        <v>198.00000000000003</v>
      </c>
      <c r="M128" s="4"/>
      <c r="N128" s="4" t="s">
        <v>296</v>
      </c>
      <c r="O128" s="7">
        <v>1.9</v>
      </c>
      <c r="P128" t="s">
        <v>746</v>
      </c>
    </row>
    <row r="129" spans="1:16" ht="23.1" customHeight="1" x14ac:dyDescent="0.2">
      <c r="A129" s="9" t="s">
        <v>520</v>
      </c>
      <c r="B129" s="9"/>
      <c r="C129" s="9"/>
      <c r="D129" s="9" t="s">
        <v>521</v>
      </c>
      <c r="E129" s="9"/>
      <c r="F129" s="4" t="s">
        <v>522</v>
      </c>
      <c r="G129" s="4" t="s">
        <v>522</v>
      </c>
      <c r="H129" s="4" t="s">
        <v>80</v>
      </c>
      <c r="I129" s="5"/>
      <c r="J129" s="4"/>
      <c r="K129" s="6">
        <v>200</v>
      </c>
      <c r="L129" s="4">
        <f t="shared" si="1"/>
        <v>220.00000000000003</v>
      </c>
      <c r="M129" s="4" t="s">
        <v>523</v>
      </c>
      <c r="N129" s="4" t="s">
        <v>296</v>
      </c>
      <c r="O129" s="7">
        <v>0.85</v>
      </c>
      <c r="P129" t="s">
        <v>746</v>
      </c>
    </row>
    <row r="130" spans="1:16" ht="23.1" customHeight="1" x14ac:dyDescent="0.2">
      <c r="A130" s="9" t="s">
        <v>524</v>
      </c>
      <c r="B130" s="9"/>
      <c r="C130" s="9"/>
      <c r="D130" s="9" t="s">
        <v>525</v>
      </c>
      <c r="E130" s="9"/>
      <c r="F130" s="4" t="s">
        <v>526</v>
      </c>
      <c r="G130" s="4" t="s">
        <v>527</v>
      </c>
      <c r="H130" s="4" t="s">
        <v>80</v>
      </c>
      <c r="I130" s="7">
        <v>6.9</v>
      </c>
      <c r="J130" s="4" t="s">
        <v>234</v>
      </c>
      <c r="K130" s="6">
        <v>66</v>
      </c>
      <c r="L130" s="4">
        <f t="shared" si="1"/>
        <v>72.600000000000009</v>
      </c>
      <c r="M130" s="4" t="s">
        <v>421</v>
      </c>
      <c r="N130" s="4" t="s">
        <v>296</v>
      </c>
      <c r="O130" s="7">
        <v>12.221</v>
      </c>
      <c r="P130" t="s">
        <v>746</v>
      </c>
    </row>
    <row r="131" spans="1:16" ht="23.1" customHeight="1" x14ac:dyDescent="0.2">
      <c r="A131" s="9" t="s">
        <v>528</v>
      </c>
      <c r="B131" s="9"/>
      <c r="C131" s="9"/>
      <c r="D131" s="9" t="s">
        <v>529</v>
      </c>
      <c r="E131" s="9"/>
      <c r="F131" s="4" t="s">
        <v>530</v>
      </c>
      <c r="G131" s="4" t="s">
        <v>531</v>
      </c>
      <c r="H131" s="4" t="s">
        <v>80</v>
      </c>
      <c r="I131" s="7">
        <v>7.1</v>
      </c>
      <c r="J131" s="4" t="s">
        <v>234</v>
      </c>
      <c r="K131" s="6">
        <v>80</v>
      </c>
      <c r="L131" s="4">
        <f t="shared" si="1"/>
        <v>88</v>
      </c>
      <c r="M131" s="4" t="s">
        <v>345</v>
      </c>
      <c r="N131" s="4" t="s">
        <v>296</v>
      </c>
      <c r="O131" s="7">
        <v>4.58</v>
      </c>
      <c r="P131" t="s">
        <v>746</v>
      </c>
    </row>
    <row r="132" spans="1:16" ht="23.1" customHeight="1" x14ac:dyDescent="0.2">
      <c r="A132" s="9" t="s">
        <v>532</v>
      </c>
      <c r="B132" s="9"/>
      <c r="C132" s="9"/>
      <c r="D132" s="9" t="s">
        <v>533</v>
      </c>
      <c r="E132" s="9"/>
      <c r="F132" s="4" t="s">
        <v>534</v>
      </c>
      <c r="G132" s="4" t="s">
        <v>535</v>
      </c>
      <c r="H132" s="4" t="s">
        <v>80</v>
      </c>
      <c r="I132" s="5"/>
      <c r="J132" s="4" t="s">
        <v>234</v>
      </c>
      <c r="K132" s="6">
        <v>162</v>
      </c>
      <c r="L132" s="4">
        <f t="shared" si="1"/>
        <v>178.20000000000002</v>
      </c>
      <c r="M132" s="4" t="s">
        <v>536</v>
      </c>
      <c r="N132" s="4" t="s">
        <v>296</v>
      </c>
      <c r="O132" s="7">
        <v>2.2000000000000002</v>
      </c>
      <c r="P132" t="s">
        <v>746</v>
      </c>
    </row>
    <row r="133" spans="1:16" ht="23.1" customHeight="1" x14ac:dyDescent="0.2">
      <c r="A133" s="9" t="s">
        <v>537</v>
      </c>
      <c r="B133" s="9"/>
      <c r="C133" s="9"/>
      <c r="D133" s="9" t="s">
        <v>538</v>
      </c>
      <c r="E133" s="9"/>
      <c r="F133" s="4" t="s">
        <v>539</v>
      </c>
      <c r="G133" s="4" t="s">
        <v>540</v>
      </c>
      <c r="H133" s="4" t="s">
        <v>80</v>
      </c>
      <c r="I133" s="7">
        <v>5</v>
      </c>
      <c r="J133" s="4" t="s">
        <v>234</v>
      </c>
      <c r="K133" s="6">
        <v>140</v>
      </c>
      <c r="L133" s="4">
        <f t="shared" si="1"/>
        <v>154</v>
      </c>
      <c r="M133" s="4" t="s">
        <v>345</v>
      </c>
      <c r="N133" s="4" t="s">
        <v>296</v>
      </c>
      <c r="O133" s="7">
        <v>3.7</v>
      </c>
      <c r="P133" t="s">
        <v>746</v>
      </c>
    </row>
    <row r="134" spans="1:16" ht="23.1" customHeight="1" x14ac:dyDescent="0.2">
      <c r="A134" s="9" t="s">
        <v>541</v>
      </c>
      <c r="B134" s="9"/>
      <c r="C134" s="9"/>
      <c r="D134" s="9" t="s">
        <v>542</v>
      </c>
      <c r="E134" s="9"/>
      <c r="F134" s="4" t="s">
        <v>543</v>
      </c>
      <c r="G134" s="4" t="s">
        <v>544</v>
      </c>
      <c r="H134" s="4" t="s">
        <v>80</v>
      </c>
      <c r="I134" s="7">
        <v>16</v>
      </c>
      <c r="J134" s="4" t="s">
        <v>234</v>
      </c>
      <c r="K134" s="6">
        <v>140</v>
      </c>
      <c r="L134" s="4">
        <f t="shared" si="1"/>
        <v>154</v>
      </c>
      <c r="M134" s="4" t="s">
        <v>545</v>
      </c>
      <c r="N134" s="4" t="s">
        <v>296</v>
      </c>
      <c r="O134" s="7">
        <v>1</v>
      </c>
      <c r="P134" t="s">
        <v>746</v>
      </c>
    </row>
    <row r="135" spans="1:16" ht="23.1" customHeight="1" x14ac:dyDescent="0.2">
      <c r="A135" s="9" t="s">
        <v>546</v>
      </c>
      <c r="B135" s="9"/>
      <c r="C135" s="9"/>
      <c r="D135" s="9" t="s">
        <v>547</v>
      </c>
      <c r="E135" s="9"/>
      <c r="F135" s="4" t="s">
        <v>548</v>
      </c>
      <c r="G135" s="4" t="s">
        <v>549</v>
      </c>
      <c r="H135" s="4" t="s">
        <v>80</v>
      </c>
      <c r="I135" s="7">
        <v>14</v>
      </c>
      <c r="J135" s="4" t="s">
        <v>234</v>
      </c>
      <c r="K135" s="6">
        <v>180</v>
      </c>
      <c r="L135" s="4">
        <f t="shared" si="1"/>
        <v>198.00000000000003</v>
      </c>
      <c r="M135" s="4" t="s">
        <v>550</v>
      </c>
      <c r="N135" s="4" t="s">
        <v>296</v>
      </c>
      <c r="O135" s="7">
        <v>9.8000000000000007</v>
      </c>
      <c r="P135" t="s">
        <v>746</v>
      </c>
    </row>
    <row r="136" spans="1:16" ht="23.1" customHeight="1" x14ac:dyDescent="0.2">
      <c r="A136" s="9" t="s">
        <v>551</v>
      </c>
      <c r="B136" s="9"/>
      <c r="C136" s="9"/>
      <c r="D136" s="9" t="s">
        <v>552</v>
      </c>
      <c r="E136" s="9"/>
      <c r="F136" s="4" t="s">
        <v>553</v>
      </c>
      <c r="G136" s="4" t="s">
        <v>554</v>
      </c>
      <c r="H136" s="4" t="s">
        <v>80</v>
      </c>
      <c r="I136" s="7">
        <v>3.68</v>
      </c>
      <c r="J136" s="4" t="s">
        <v>234</v>
      </c>
      <c r="K136" s="6">
        <v>50</v>
      </c>
      <c r="L136" s="4">
        <f t="shared" ref="L136:L182" si="2">K136*1.1</f>
        <v>55.000000000000007</v>
      </c>
      <c r="M136" s="4" t="s">
        <v>363</v>
      </c>
      <c r="N136" s="4" t="s">
        <v>296</v>
      </c>
      <c r="O136" s="7">
        <v>233.197</v>
      </c>
      <c r="P136" t="s">
        <v>746</v>
      </c>
    </row>
    <row r="137" spans="1:16" ht="23.1" customHeight="1" x14ac:dyDescent="0.2">
      <c r="A137" s="9" t="s">
        <v>555</v>
      </c>
      <c r="B137" s="9"/>
      <c r="C137" s="9"/>
      <c r="D137" s="9" t="s">
        <v>556</v>
      </c>
      <c r="E137" s="9"/>
      <c r="F137" s="4" t="s">
        <v>557</v>
      </c>
      <c r="G137" s="4" t="s">
        <v>558</v>
      </c>
      <c r="H137" s="4" t="s">
        <v>80</v>
      </c>
      <c r="I137" s="7">
        <v>3.6</v>
      </c>
      <c r="J137" s="4" t="s">
        <v>234</v>
      </c>
      <c r="K137" s="6">
        <v>44</v>
      </c>
      <c r="L137" s="4">
        <f t="shared" si="2"/>
        <v>48.400000000000006</v>
      </c>
      <c r="M137" s="4" t="s">
        <v>363</v>
      </c>
      <c r="N137" s="4" t="s">
        <v>296</v>
      </c>
      <c r="O137" s="7">
        <v>90.9</v>
      </c>
      <c r="P137" t="s">
        <v>746</v>
      </c>
    </row>
    <row r="138" spans="1:16" ht="23.1" customHeight="1" x14ac:dyDescent="0.2">
      <c r="A138" s="9" t="s">
        <v>559</v>
      </c>
      <c r="B138" s="9"/>
      <c r="C138" s="9"/>
      <c r="D138" s="9" t="s">
        <v>560</v>
      </c>
      <c r="E138" s="9"/>
      <c r="F138" s="4" t="s">
        <v>561</v>
      </c>
      <c r="G138" s="4" t="s">
        <v>562</v>
      </c>
      <c r="H138" s="4" t="s">
        <v>80</v>
      </c>
      <c r="I138" s="7">
        <v>3.6</v>
      </c>
      <c r="J138" s="4" t="s">
        <v>234</v>
      </c>
      <c r="K138" s="6">
        <v>47</v>
      </c>
      <c r="L138" s="4">
        <f t="shared" si="2"/>
        <v>51.7</v>
      </c>
      <c r="M138" s="4" t="s">
        <v>363</v>
      </c>
      <c r="N138" s="4" t="s">
        <v>296</v>
      </c>
      <c r="O138" s="7">
        <v>31.07</v>
      </c>
      <c r="P138" t="s">
        <v>746</v>
      </c>
    </row>
    <row r="139" spans="1:16" ht="23.1" customHeight="1" x14ac:dyDescent="0.2">
      <c r="A139" s="9" t="s">
        <v>563</v>
      </c>
      <c r="B139" s="9"/>
      <c r="C139" s="9"/>
      <c r="D139" s="9" t="s">
        <v>564</v>
      </c>
      <c r="E139" s="9"/>
      <c r="F139" s="4" t="s">
        <v>565</v>
      </c>
      <c r="G139" s="4" t="s">
        <v>566</v>
      </c>
      <c r="H139" s="4" t="s">
        <v>80</v>
      </c>
      <c r="I139" s="7">
        <v>4</v>
      </c>
      <c r="J139" s="4" t="s">
        <v>234</v>
      </c>
      <c r="K139" s="6">
        <v>43</v>
      </c>
      <c r="L139" s="4">
        <f t="shared" si="2"/>
        <v>47.300000000000004</v>
      </c>
      <c r="M139" s="4" t="s">
        <v>371</v>
      </c>
      <c r="N139" s="4" t="s">
        <v>296</v>
      </c>
      <c r="O139" s="7">
        <v>3.91</v>
      </c>
      <c r="P139" t="s">
        <v>746</v>
      </c>
    </row>
    <row r="140" spans="1:16" ht="23.1" customHeight="1" x14ac:dyDescent="0.2">
      <c r="A140" s="9" t="s">
        <v>567</v>
      </c>
      <c r="B140" s="9"/>
      <c r="C140" s="9"/>
      <c r="D140" s="9" t="s">
        <v>568</v>
      </c>
      <c r="E140" s="9"/>
      <c r="F140" s="4" t="s">
        <v>569</v>
      </c>
      <c r="G140" s="4" t="s">
        <v>570</v>
      </c>
      <c r="H140" s="4" t="s">
        <v>80</v>
      </c>
      <c r="I140" s="7">
        <v>4</v>
      </c>
      <c r="J140" s="4" t="s">
        <v>234</v>
      </c>
      <c r="K140" s="6">
        <v>43</v>
      </c>
      <c r="L140" s="4">
        <f t="shared" si="2"/>
        <v>47.300000000000004</v>
      </c>
      <c r="M140" s="4" t="s">
        <v>301</v>
      </c>
      <c r="N140" s="4" t="s">
        <v>296</v>
      </c>
      <c r="O140" s="7">
        <v>14.5</v>
      </c>
      <c r="P140" t="s">
        <v>746</v>
      </c>
    </row>
    <row r="141" spans="1:16" ht="23.1" customHeight="1" x14ac:dyDescent="0.2">
      <c r="A141" s="9" t="s">
        <v>571</v>
      </c>
      <c r="B141" s="9"/>
      <c r="C141" s="9"/>
      <c r="D141" s="9" t="s">
        <v>572</v>
      </c>
      <c r="E141" s="9"/>
      <c r="F141" s="4" t="s">
        <v>573</v>
      </c>
      <c r="G141" s="4" t="s">
        <v>574</v>
      </c>
      <c r="H141" s="4" t="s">
        <v>80</v>
      </c>
      <c r="I141" s="7">
        <v>4</v>
      </c>
      <c r="J141" s="4" t="s">
        <v>234</v>
      </c>
      <c r="K141" s="6">
        <v>58</v>
      </c>
      <c r="L141" s="4">
        <f t="shared" si="2"/>
        <v>63.800000000000004</v>
      </c>
      <c r="M141" s="4" t="s">
        <v>371</v>
      </c>
      <c r="N141" s="4" t="s">
        <v>296</v>
      </c>
      <c r="O141" s="7">
        <v>31.99</v>
      </c>
      <c r="P141" t="s">
        <v>746</v>
      </c>
    </row>
    <row r="142" spans="1:16" ht="23.1" customHeight="1" x14ac:dyDescent="0.2">
      <c r="A142" s="9" t="s">
        <v>575</v>
      </c>
      <c r="B142" s="9"/>
      <c r="C142" s="9"/>
      <c r="D142" s="9" t="s">
        <v>576</v>
      </c>
      <c r="E142" s="9"/>
      <c r="F142" s="4" t="s">
        <v>577</v>
      </c>
      <c r="G142" s="4" t="s">
        <v>578</v>
      </c>
      <c r="H142" s="4" t="s">
        <v>80</v>
      </c>
      <c r="I142" s="7">
        <v>3.6</v>
      </c>
      <c r="J142" s="4" t="s">
        <v>234</v>
      </c>
      <c r="K142" s="6">
        <v>56</v>
      </c>
      <c r="L142" s="4">
        <f t="shared" si="2"/>
        <v>61.600000000000009</v>
      </c>
      <c r="M142" s="4" t="s">
        <v>579</v>
      </c>
      <c r="N142" s="4" t="s">
        <v>296</v>
      </c>
      <c r="O142" s="7">
        <v>1</v>
      </c>
      <c r="P142" t="s">
        <v>746</v>
      </c>
    </row>
    <row r="143" spans="1:16" ht="23.1" customHeight="1" x14ac:dyDescent="0.2">
      <c r="A143" s="9" t="s">
        <v>580</v>
      </c>
      <c r="B143" s="9"/>
      <c r="C143" s="9"/>
      <c r="D143" s="9" t="s">
        <v>581</v>
      </c>
      <c r="E143" s="9"/>
      <c r="F143" s="4" t="s">
        <v>582</v>
      </c>
      <c r="G143" s="4" t="s">
        <v>583</v>
      </c>
      <c r="H143" s="4" t="s">
        <v>80</v>
      </c>
      <c r="I143" s="7">
        <v>3.6</v>
      </c>
      <c r="J143" s="4" t="s">
        <v>234</v>
      </c>
      <c r="K143" s="6">
        <v>50</v>
      </c>
      <c r="L143" s="4">
        <f t="shared" si="2"/>
        <v>55.000000000000007</v>
      </c>
      <c r="M143" s="4" t="s">
        <v>295</v>
      </c>
      <c r="N143" s="4" t="s">
        <v>296</v>
      </c>
      <c r="O143" s="7">
        <v>56.698999999999998</v>
      </c>
      <c r="P143" t="s">
        <v>746</v>
      </c>
    </row>
    <row r="144" spans="1:16" ht="23.1" customHeight="1" x14ac:dyDescent="0.2">
      <c r="A144" s="9" t="s">
        <v>584</v>
      </c>
      <c r="B144" s="9"/>
      <c r="C144" s="9"/>
      <c r="D144" s="9" t="s">
        <v>585</v>
      </c>
      <c r="E144" s="9"/>
      <c r="F144" s="4" t="s">
        <v>586</v>
      </c>
      <c r="G144" s="4" t="s">
        <v>587</v>
      </c>
      <c r="H144" s="4" t="s">
        <v>80</v>
      </c>
      <c r="I144" s="7">
        <v>3.6</v>
      </c>
      <c r="J144" s="4" t="s">
        <v>234</v>
      </c>
      <c r="K144" s="6">
        <v>50</v>
      </c>
      <c r="L144" s="4">
        <f t="shared" si="2"/>
        <v>55.000000000000007</v>
      </c>
      <c r="M144" s="4" t="s">
        <v>295</v>
      </c>
      <c r="N144" s="4" t="s">
        <v>296</v>
      </c>
      <c r="O144" s="7">
        <v>50.2</v>
      </c>
      <c r="P144" t="s">
        <v>746</v>
      </c>
    </row>
    <row r="145" spans="1:16" ht="23.1" customHeight="1" x14ac:dyDescent="0.2">
      <c r="A145" s="9" t="s">
        <v>588</v>
      </c>
      <c r="B145" s="9"/>
      <c r="C145" s="9"/>
      <c r="D145" s="9" t="s">
        <v>589</v>
      </c>
      <c r="E145" s="9"/>
      <c r="F145" s="4" t="s">
        <v>590</v>
      </c>
      <c r="G145" s="4" t="s">
        <v>591</v>
      </c>
      <c r="H145" s="4" t="s">
        <v>80</v>
      </c>
      <c r="I145" s="7">
        <v>4.9000000000000004</v>
      </c>
      <c r="J145" s="4" t="s">
        <v>234</v>
      </c>
      <c r="K145" s="6">
        <v>46</v>
      </c>
      <c r="L145" s="4">
        <f t="shared" si="2"/>
        <v>50.6</v>
      </c>
      <c r="M145" s="4" t="s">
        <v>592</v>
      </c>
      <c r="N145" s="4" t="s">
        <v>296</v>
      </c>
      <c r="O145" s="7">
        <v>4.08</v>
      </c>
      <c r="P145" t="s">
        <v>746</v>
      </c>
    </row>
    <row r="146" spans="1:16" ht="23.1" customHeight="1" x14ac:dyDescent="0.2">
      <c r="A146" s="9" t="s">
        <v>593</v>
      </c>
      <c r="B146" s="9"/>
      <c r="C146" s="9"/>
      <c r="D146" s="9" t="s">
        <v>594</v>
      </c>
      <c r="E146" s="9"/>
      <c r="F146" s="4" t="s">
        <v>595</v>
      </c>
      <c r="G146" s="4" t="s">
        <v>596</v>
      </c>
      <c r="H146" s="4" t="s">
        <v>80</v>
      </c>
      <c r="I146" s="7">
        <v>4.5</v>
      </c>
      <c r="J146" s="4" t="s">
        <v>234</v>
      </c>
      <c r="K146" s="6">
        <v>56</v>
      </c>
      <c r="L146" s="4">
        <f t="shared" si="2"/>
        <v>61.600000000000009</v>
      </c>
      <c r="M146" s="4" t="s">
        <v>354</v>
      </c>
      <c r="N146" s="4" t="s">
        <v>296</v>
      </c>
      <c r="O146" s="7">
        <v>66.180000000000007</v>
      </c>
      <c r="P146" t="s">
        <v>746</v>
      </c>
    </row>
    <row r="147" spans="1:16" ht="23.1" customHeight="1" x14ac:dyDescent="0.2">
      <c r="A147" s="9" t="s">
        <v>597</v>
      </c>
      <c r="B147" s="9"/>
      <c r="C147" s="9"/>
      <c r="D147" s="9" t="s">
        <v>598</v>
      </c>
      <c r="E147" s="9"/>
      <c r="F147" s="4" t="s">
        <v>599</v>
      </c>
      <c r="G147" s="4" t="s">
        <v>600</v>
      </c>
      <c r="H147" s="4" t="s">
        <v>80</v>
      </c>
      <c r="I147" s="7">
        <v>4.4000000000000004</v>
      </c>
      <c r="J147" s="4" t="s">
        <v>234</v>
      </c>
      <c r="K147" s="6">
        <v>49.35</v>
      </c>
      <c r="L147" s="4">
        <f t="shared" si="2"/>
        <v>54.285000000000004</v>
      </c>
      <c r="M147" s="4" t="s">
        <v>404</v>
      </c>
      <c r="N147" s="4" t="s">
        <v>296</v>
      </c>
      <c r="O147" s="7">
        <v>23.37</v>
      </c>
      <c r="P147" t="s">
        <v>746</v>
      </c>
    </row>
    <row r="148" spans="1:16" ht="23.1" customHeight="1" x14ac:dyDescent="0.2">
      <c r="A148" s="9" t="s">
        <v>601</v>
      </c>
      <c r="B148" s="9"/>
      <c r="C148" s="9"/>
      <c r="D148" s="9" t="s">
        <v>602</v>
      </c>
      <c r="E148" s="9"/>
      <c r="F148" s="4" t="s">
        <v>603</v>
      </c>
      <c r="G148" s="4" t="s">
        <v>604</v>
      </c>
      <c r="H148" s="4" t="s">
        <v>80</v>
      </c>
      <c r="I148" s="7">
        <v>3.8</v>
      </c>
      <c r="J148" s="4" t="s">
        <v>234</v>
      </c>
      <c r="K148" s="6">
        <v>56</v>
      </c>
      <c r="L148" s="4">
        <f t="shared" si="2"/>
        <v>61.600000000000009</v>
      </c>
      <c r="M148" s="4" t="s">
        <v>295</v>
      </c>
      <c r="N148" s="4" t="s">
        <v>296</v>
      </c>
      <c r="O148" s="7">
        <v>128.6</v>
      </c>
      <c r="P148" t="s">
        <v>746</v>
      </c>
    </row>
    <row r="149" spans="1:16" ht="23.1" customHeight="1" x14ac:dyDescent="0.2">
      <c r="A149" s="9" t="s">
        <v>605</v>
      </c>
      <c r="B149" s="9"/>
      <c r="C149" s="9"/>
      <c r="D149" s="9" t="s">
        <v>606</v>
      </c>
      <c r="E149" s="9"/>
      <c r="F149" s="4" t="s">
        <v>607</v>
      </c>
      <c r="G149" s="4" t="s">
        <v>608</v>
      </c>
      <c r="H149" s="4" t="s">
        <v>80</v>
      </c>
      <c r="I149" s="7">
        <v>4</v>
      </c>
      <c r="J149" s="4" t="s">
        <v>234</v>
      </c>
      <c r="K149" s="6">
        <v>62.1</v>
      </c>
      <c r="L149" s="4">
        <f t="shared" si="2"/>
        <v>68.31</v>
      </c>
      <c r="M149" s="4" t="s">
        <v>295</v>
      </c>
      <c r="N149" s="4" t="s">
        <v>296</v>
      </c>
      <c r="O149" s="7">
        <v>134.27000000000001</v>
      </c>
      <c r="P149" t="s">
        <v>746</v>
      </c>
    </row>
    <row r="150" spans="1:16" ht="23.1" customHeight="1" x14ac:dyDescent="0.2">
      <c r="A150" s="9" t="s">
        <v>609</v>
      </c>
      <c r="B150" s="9"/>
      <c r="C150" s="9"/>
      <c r="D150" s="9" t="s">
        <v>610</v>
      </c>
      <c r="E150" s="9"/>
      <c r="F150" s="4" t="s">
        <v>611</v>
      </c>
      <c r="G150" s="4" t="s">
        <v>612</v>
      </c>
      <c r="H150" s="4" t="s">
        <v>80</v>
      </c>
      <c r="I150" s="7">
        <v>4.5</v>
      </c>
      <c r="J150" s="4" t="s">
        <v>234</v>
      </c>
      <c r="K150" s="6">
        <v>57.2</v>
      </c>
      <c r="L150" s="4">
        <f t="shared" si="2"/>
        <v>62.920000000000009</v>
      </c>
      <c r="M150" s="4" t="s">
        <v>465</v>
      </c>
      <c r="N150" s="4" t="s">
        <v>296</v>
      </c>
      <c r="O150" s="7">
        <v>5.27</v>
      </c>
      <c r="P150" t="s">
        <v>746</v>
      </c>
    </row>
    <row r="151" spans="1:16" ht="23.1" customHeight="1" x14ac:dyDescent="0.2">
      <c r="A151" s="9" t="s">
        <v>613</v>
      </c>
      <c r="B151" s="9"/>
      <c r="C151" s="9"/>
      <c r="D151" s="9" t="s">
        <v>614</v>
      </c>
      <c r="E151" s="9"/>
      <c r="F151" s="4" t="s">
        <v>615</v>
      </c>
      <c r="G151" s="4" t="s">
        <v>616</v>
      </c>
      <c r="H151" s="4" t="s">
        <v>80</v>
      </c>
      <c r="I151" s="7">
        <v>4.6660000000000004</v>
      </c>
      <c r="J151" s="4" t="s">
        <v>234</v>
      </c>
      <c r="K151" s="6">
        <v>50</v>
      </c>
      <c r="L151" s="4">
        <f t="shared" si="2"/>
        <v>55.000000000000007</v>
      </c>
      <c r="M151" s="4" t="s">
        <v>363</v>
      </c>
      <c r="N151" s="4" t="s">
        <v>296</v>
      </c>
      <c r="O151" s="7">
        <v>5.7</v>
      </c>
      <c r="P151" t="s">
        <v>746</v>
      </c>
    </row>
    <row r="152" spans="1:16" ht="23.1" customHeight="1" x14ac:dyDescent="0.2">
      <c r="A152" s="9" t="s">
        <v>617</v>
      </c>
      <c r="B152" s="9"/>
      <c r="C152" s="9"/>
      <c r="D152" s="9" t="s">
        <v>618</v>
      </c>
      <c r="E152" s="9"/>
      <c r="F152" s="4" t="s">
        <v>619</v>
      </c>
      <c r="G152" s="4" t="s">
        <v>620</v>
      </c>
      <c r="H152" s="4" t="s">
        <v>80</v>
      </c>
      <c r="I152" s="7">
        <v>4.6660000000000004</v>
      </c>
      <c r="J152" s="4" t="s">
        <v>234</v>
      </c>
      <c r="K152" s="6">
        <v>50</v>
      </c>
      <c r="L152" s="4">
        <f t="shared" si="2"/>
        <v>55.000000000000007</v>
      </c>
      <c r="M152" s="4" t="s">
        <v>404</v>
      </c>
      <c r="N152" s="4" t="s">
        <v>296</v>
      </c>
      <c r="O152" s="7">
        <v>16.3</v>
      </c>
      <c r="P152" t="s">
        <v>746</v>
      </c>
    </row>
    <row r="153" spans="1:16" ht="23.1" customHeight="1" x14ac:dyDescent="0.2">
      <c r="A153" s="9" t="s">
        <v>621</v>
      </c>
      <c r="B153" s="9"/>
      <c r="C153" s="9"/>
      <c r="D153" s="9" t="s">
        <v>622</v>
      </c>
      <c r="E153" s="9"/>
      <c r="F153" s="4" t="s">
        <v>623</v>
      </c>
      <c r="G153" s="4" t="s">
        <v>624</v>
      </c>
      <c r="H153" s="4" t="s">
        <v>80</v>
      </c>
      <c r="I153" s="7">
        <v>4.33</v>
      </c>
      <c r="J153" s="4" t="s">
        <v>234</v>
      </c>
      <c r="K153" s="6">
        <v>52.8</v>
      </c>
      <c r="L153" s="4">
        <f t="shared" si="2"/>
        <v>58.08</v>
      </c>
      <c r="M153" s="4" t="s">
        <v>625</v>
      </c>
      <c r="N153" s="4" t="s">
        <v>296</v>
      </c>
      <c r="O153" s="7">
        <v>62.1</v>
      </c>
      <c r="P153" t="s">
        <v>746</v>
      </c>
    </row>
    <row r="154" spans="1:16" ht="23.1" customHeight="1" x14ac:dyDescent="0.2">
      <c r="A154" s="9" t="s">
        <v>626</v>
      </c>
      <c r="B154" s="9"/>
      <c r="C154" s="9"/>
      <c r="D154" s="9" t="s">
        <v>627</v>
      </c>
      <c r="E154" s="9"/>
      <c r="F154" s="4" t="s">
        <v>628</v>
      </c>
      <c r="G154" s="4" t="s">
        <v>629</v>
      </c>
      <c r="H154" s="4" t="s">
        <v>80</v>
      </c>
      <c r="I154" s="7">
        <v>4.3330000000000002</v>
      </c>
      <c r="J154" s="4" t="s">
        <v>234</v>
      </c>
      <c r="K154" s="6">
        <v>50</v>
      </c>
      <c r="L154" s="4">
        <f t="shared" si="2"/>
        <v>55.000000000000007</v>
      </c>
      <c r="M154" s="4" t="s">
        <v>295</v>
      </c>
      <c r="N154" s="4" t="s">
        <v>296</v>
      </c>
      <c r="O154" s="7">
        <v>48.79</v>
      </c>
      <c r="P154" t="s">
        <v>746</v>
      </c>
    </row>
    <row r="155" spans="1:16" ht="23.1" customHeight="1" x14ac:dyDescent="0.2">
      <c r="A155" s="9" t="s">
        <v>630</v>
      </c>
      <c r="B155" s="9"/>
      <c r="C155" s="9"/>
      <c r="D155" s="9" t="s">
        <v>631</v>
      </c>
      <c r="E155" s="9"/>
      <c r="F155" s="4" t="s">
        <v>632</v>
      </c>
      <c r="G155" s="4" t="s">
        <v>633</v>
      </c>
      <c r="H155" s="4" t="s">
        <v>80</v>
      </c>
      <c r="I155" s="7">
        <v>4</v>
      </c>
      <c r="J155" s="4" t="s">
        <v>234</v>
      </c>
      <c r="K155" s="6">
        <v>56</v>
      </c>
      <c r="L155" s="4">
        <f t="shared" si="2"/>
        <v>61.600000000000009</v>
      </c>
      <c r="M155" s="4" t="s">
        <v>634</v>
      </c>
      <c r="N155" s="4" t="s">
        <v>296</v>
      </c>
      <c r="O155" s="7">
        <v>2.5</v>
      </c>
      <c r="P155" t="s">
        <v>746</v>
      </c>
    </row>
    <row r="156" spans="1:16" ht="23.1" customHeight="1" x14ac:dyDescent="0.2">
      <c r="A156" s="9" t="s">
        <v>635</v>
      </c>
      <c r="B156" s="9"/>
      <c r="C156" s="9"/>
      <c r="D156" s="9" t="s">
        <v>636</v>
      </c>
      <c r="E156" s="9"/>
      <c r="F156" s="4" t="s">
        <v>637</v>
      </c>
      <c r="G156" s="4" t="s">
        <v>638</v>
      </c>
      <c r="H156" s="4" t="s">
        <v>80</v>
      </c>
      <c r="I156" s="7">
        <v>8.6660000000000004</v>
      </c>
      <c r="J156" s="4" t="s">
        <v>234</v>
      </c>
      <c r="K156" s="6">
        <v>66</v>
      </c>
      <c r="L156" s="4">
        <f t="shared" si="2"/>
        <v>72.600000000000009</v>
      </c>
      <c r="M156" s="4" t="s">
        <v>295</v>
      </c>
      <c r="N156" s="4" t="s">
        <v>296</v>
      </c>
      <c r="O156" s="7">
        <v>2.75</v>
      </c>
      <c r="P156" t="s">
        <v>746</v>
      </c>
    </row>
    <row r="157" spans="1:16" ht="23.1" customHeight="1" x14ac:dyDescent="0.2">
      <c r="A157" s="9" t="s">
        <v>639</v>
      </c>
      <c r="B157" s="9"/>
      <c r="C157" s="9"/>
      <c r="D157" s="9" t="s">
        <v>640</v>
      </c>
      <c r="E157" s="9"/>
      <c r="F157" s="4" t="s">
        <v>641</v>
      </c>
      <c r="G157" s="4" t="s">
        <v>642</v>
      </c>
      <c r="H157" s="4" t="s">
        <v>80</v>
      </c>
      <c r="I157" s="7">
        <v>8.5</v>
      </c>
      <c r="J157" s="4" t="s">
        <v>234</v>
      </c>
      <c r="K157" s="6">
        <v>78</v>
      </c>
      <c r="L157" s="4">
        <f t="shared" si="2"/>
        <v>85.800000000000011</v>
      </c>
      <c r="M157" s="4" t="s">
        <v>643</v>
      </c>
      <c r="N157" s="4" t="s">
        <v>296</v>
      </c>
      <c r="O157" s="7">
        <v>11.3</v>
      </c>
      <c r="P157" t="s">
        <v>746</v>
      </c>
    </row>
    <row r="158" spans="1:16" ht="23.1" customHeight="1" x14ac:dyDescent="0.2">
      <c r="A158" s="9" t="s">
        <v>644</v>
      </c>
      <c r="B158" s="9"/>
      <c r="C158" s="9"/>
      <c r="D158" s="9" t="s">
        <v>645</v>
      </c>
      <c r="E158" s="9"/>
      <c r="F158" s="4" t="s">
        <v>646</v>
      </c>
      <c r="G158" s="4" t="s">
        <v>647</v>
      </c>
      <c r="H158" s="4" t="s">
        <v>80</v>
      </c>
      <c r="I158" s="7">
        <v>8.5</v>
      </c>
      <c r="J158" s="4" t="s">
        <v>234</v>
      </c>
      <c r="K158" s="6">
        <v>66</v>
      </c>
      <c r="L158" s="4">
        <f t="shared" si="2"/>
        <v>72.600000000000009</v>
      </c>
      <c r="M158" s="4" t="s">
        <v>376</v>
      </c>
      <c r="N158" s="4" t="s">
        <v>296</v>
      </c>
      <c r="O158" s="7">
        <v>13.38</v>
      </c>
      <c r="P158" t="s">
        <v>746</v>
      </c>
    </row>
    <row r="159" spans="1:16" ht="23.1" customHeight="1" x14ac:dyDescent="0.2">
      <c r="A159" s="9" t="s">
        <v>648</v>
      </c>
      <c r="B159" s="9"/>
      <c r="C159" s="9"/>
      <c r="D159" s="9" t="s">
        <v>649</v>
      </c>
      <c r="E159" s="9"/>
      <c r="F159" s="4" t="s">
        <v>650</v>
      </c>
      <c r="G159" s="4" t="s">
        <v>651</v>
      </c>
      <c r="H159" s="4" t="s">
        <v>80</v>
      </c>
      <c r="I159" s="7">
        <v>8.15</v>
      </c>
      <c r="J159" s="4" t="s">
        <v>234</v>
      </c>
      <c r="K159" s="6">
        <v>80</v>
      </c>
      <c r="L159" s="4">
        <f t="shared" si="2"/>
        <v>88</v>
      </c>
      <c r="M159" s="4" t="s">
        <v>376</v>
      </c>
      <c r="N159" s="4" t="s">
        <v>296</v>
      </c>
      <c r="O159" s="7">
        <v>6.9080000000000004</v>
      </c>
      <c r="P159" t="s">
        <v>746</v>
      </c>
    </row>
    <row r="160" spans="1:16" ht="23.1" customHeight="1" x14ac:dyDescent="0.2">
      <c r="A160" s="9" t="s">
        <v>652</v>
      </c>
      <c r="B160" s="9"/>
      <c r="C160" s="9"/>
      <c r="D160" s="9" t="s">
        <v>653</v>
      </c>
      <c r="E160" s="9"/>
      <c r="F160" s="4" t="s">
        <v>654</v>
      </c>
      <c r="G160" s="4" t="s">
        <v>655</v>
      </c>
      <c r="H160" s="4" t="s">
        <v>80</v>
      </c>
      <c r="I160" s="7">
        <v>8.6</v>
      </c>
      <c r="J160" s="4" t="s">
        <v>234</v>
      </c>
      <c r="K160" s="6">
        <v>66</v>
      </c>
      <c r="L160" s="4">
        <f t="shared" si="2"/>
        <v>72.600000000000009</v>
      </c>
      <c r="M160" s="4" t="s">
        <v>656</v>
      </c>
      <c r="N160" s="4" t="s">
        <v>296</v>
      </c>
      <c r="O160" s="7">
        <v>4.5</v>
      </c>
      <c r="P160" t="s">
        <v>746</v>
      </c>
    </row>
    <row r="161" spans="1:16" ht="23.1" customHeight="1" x14ac:dyDescent="0.2">
      <c r="A161" s="9" t="s">
        <v>657</v>
      </c>
      <c r="B161" s="9"/>
      <c r="C161" s="9"/>
      <c r="D161" s="9" t="s">
        <v>658</v>
      </c>
      <c r="E161" s="9"/>
      <c r="F161" s="4" t="s">
        <v>659</v>
      </c>
      <c r="G161" s="4" t="s">
        <v>660</v>
      </c>
      <c r="H161" s="4" t="s">
        <v>80</v>
      </c>
      <c r="I161" s="7">
        <v>1.3</v>
      </c>
      <c r="J161" s="4" t="s">
        <v>234</v>
      </c>
      <c r="K161" s="6">
        <v>44</v>
      </c>
      <c r="L161" s="4">
        <f t="shared" si="2"/>
        <v>48.400000000000006</v>
      </c>
      <c r="M161" s="4" t="s">
        <v>371</v>
      </c>
      <c r="N161" s="4" t="s">
        <v>296</v>
      </c>
      <c r="O161" s="7">
        <v>5.01</v>
      </c>
      <c r="P161" t="s">
        <v>746</v>
      </c>
    </row>
    <row r="162" spans="1:16" ht="23.1" customHeight="1" x14ac:dyDescent="0.2">
      <c r="A162" s="9" t="s">
        <v>661</v>
      </c>
      <c r="B162" s="9"/>
      <c r="C162" s="9"/>
      <c r="D162" s="9" t="s">
        <v>662</v>
      </c>
      <c r="E162" s="9"/>
      <c r="F162" s="4" t="s">
        <v>663</v>
      </c>
      <c r="G162" s="4" t="s">
        <v>664</v>
      </c>
      <c r="H162" s="4" t="s">
        <v>80</v>
      </c>
      <c r="I162" s="7">
        <v>1.2</v>
      </c>
      <c r="J162" s="4" t="s">
        <v>234</v>
      </c>
      <c r="K162" s="6">
        <v>44</v>
      </c>
      <c r="L162" s="4">
        <f t="shared" si="2"/>
        <v>48.400000000000006</v>
      </c>
      <c r="M162" s="4" t="s">
        <v>665</v>
      </c>
      <c r="N162" s="4" t="s">
        <v>296</v>
      </c>
      <c r="O162" s="7">
        <v>19.440000000000001</v>
      </c>
      <c r="P162" t="s">
        <v>746</v>
      </c>
    </row>
    <row r="163" spans="1:16" ht="23.1" customHeight="1" x14ac:dyDescent="0.2">
      <c r="A163" s="9" t="s">
        <v>666</v>
      </c>
      <c r="B163" s="9"/>
      <c r="C163" s="9"/>
      <c r="D163" s="9" t="s">
        <v>667</v>
      </c>
      <c r="E163" s="9"/>
      <c r="F163" s="4" t="s">
        <v>668</v>
      </c>
      <c r="G163" s="4" t="s">
        <v>669</v>
      </c>
      <c r="H163" s="4" t="s">
        <v>80</v>
      </c>
      <c r="I163" s="7">
        <v>2</v>
      </c>
      <c r="J163" s="4" t="s">
        <v>234</v>
      </c>
      <c r="K163" s="6">
        <v>44</v>
      </c>
      <c r="L163" s="4">
        <f t="shared" si="2"/>
        <v>48.400000000000006</v>
      </c>
      <c r="M163" s="4" t="s">
        <v>447</v>
      </c>
      <c r="N163" s="4" t="s">
        <v>296</v>
      </c>
      <c r="O163" s="7">
        <v>9.8000000000000007</v>
      </c>
      <c r="P163" t="s">
        <v>746</v>
      </c>
    </row>
    <row r="164" spans="1:16" ht="23.1" customHeight="1" x14ac:dyDescent="0.2">
      <c r="A164" s="9" t="s">
        <v>670</v>
      </c>
      <c r="B164" s="9"/>
      <c r="C164" s="9"/>
      <c r="D164" s="9" t="s">
        <v>671</v>
      </c>
      <c r="E164" s="9"/>
      <c r="F164" s="4" t="s">
        <v>672</v>
      </c>
      <c r="G164" s="4" t="s">
        <v>673</v>
      </c>
      <c r="H164" s="4" t="s">
        <v>80</v>
      </c>
      <c r="I164" s="7">
        <v>4</v>
      </c>
      <c r="J164" s="4" t="s">
        <v>234</v>
      </c>
      <c r="K164" s="6">
        <v>44</v>
      </c>
      <c r="L164" s="4">
        <f t="shared" si="2"/>
        <v>48.400000000000006</v>
      </c>
      <c r="M164" s="4" t="s">
        <v>371</v>
      </c>
      <c r="N164" s="4" t="s">
        <v>296</v>
      </c>
      <c r="O164" s="7">
        <v>7.2</v>
      </c>
      <c r="P164" t="s">
        <v>746</v>
      </c>
    </row>
    <row r="165" spans="1:16" ht="23.1" customHeight="1" x14ac:dyDescent="0.2">
      <c r="A165" s="9" t="s">
        <v>674</v>
      </c>
      <c r="B165" s="9"/>
      <c r="C165" s="9"/>
      <c r="D165" s="9" t="s">
        <v>675</v>
      </c>
      <c r="E165" s="9"/>
      <c r="F165" s="4" t="s">
        <v>676</v>
      </c>
      <c r="G165" s="4" t="s">
        <v>677</v>
      </c>
      <c r="H165" s="4" t="s">
        <v>80</v>
      </c>
      <c r="I165" s="7">
        <v>4</v>
      </c>
      <c r="J165" s="4" t="s">
        <v>234</v>
      </c>
      <c r="K165" s="6">
        <v>44</v>
      </c>
      <c r="L165" s="4">
        <f t="shared" si="2"/>
        <v>48.400000000000006</v>
      </c>
      <c r="M165" s="4" t="s">
        <v>371</v>
      </c>
      <c r="N165" s="4" t="s">
        <v>296</v>
      </c>
      <c r="O165" s="7">
        <v>16.8</v>
      </c>
      <c r="P165" t="s">
        <v>746</v>
      </c>
    </row>
    <row r="166" spans="1:16" ht="23.1" customHeight="1" x14ac:dyDescent="0.2">
      <c r="A166" s="9" t="s">
        <v>678</v>
      </c>
      <c r="B166" s="9"/>
      <c r="C166" s="9"/>
      <c r="D166" s="9" t="s">
        <v>679</v>
      </c>
      <c r="E166" s="9"/>
      <c r="F166" s="4" t="s">
        <v>680</v>
      </c>
      <c r="G166" s="4" t="s">
        <v>681</v>
      </c>
      <c r="H166" s="4" t="s">
        <v>80</v>
      </c>
      <c r="I166" s="7">
        <v>4</v>
      </c>
      <c r="J166" s="4" t="s">
        <v>234</v>
      </c>
      <c r="K166" s="4"/>
      <c r="L166" s="4">
        <f t="shared" si="2"/>
        <v>0</v>
      </c>
      <c r="M166" s="4" t="s">
        <v>295</v>
      </c>
      <c r="N166" s="4" t="s">
        <v>296</v>
      </c>
      <c r="O166" s="4"/>
      <c r="P166" t="s">
        <v>746</v>
      </c>
    </row>
    <row r="167" spans="1:16" ht="23.1" customHeight="1" x14ac:dyDescent="0.2">
      <c r="A167" s="9" t="s">
        <v>682</v>
      </c>
      <c r="B167" s="9"/>
      <c r="C167" s="9"/>
      <c r="D167" s="9" t="s">
        <v>683</v>
      </c>
      <c r="E167" s="9"/>
      <c r="F167" s="4" t="s">
        <v>684</v>
      </c>
      <c r="G167" s="4" t="s">
        <v>685</v>
      </c>
      <c r="H167" s="4" t="s">
        <v>80</v>
      </c>
      <c r="I167" s="7">
        <v>1.5</v>
      </c>
      <c r="J167" s="4"/>
      <c r="K167" s="6">
        <v>60.01</v>
      </c>
      <c r="L167" s="4">
        <f t="shared" si="2"/>
        <v>66.01100000000001</v>
      </c>
      <c r="M167" s="4" t="s">
        <v>523</v>
      </c>
      <c r="N167" s="4" t="s">
        <v>296</v>
      </c>
      <c r="O167" s="4"/>
      <c r="P167" t="s">
        <v>746</v>
      </c>
    </row>
    <row r="168" spans="1:16" ht="23.1" customHeight="1" x14ac:dyDescent="0.2">
      <c r="A168" s="9" t="s">
        <v>686</v>
      </c>
      <c r="B168" s="9"/>
      <c r="C168" s="9"/>
      <c r="D168" s="9" t="s">
        <v>687</v>
      </c>
      <c r="E168" s="9"/>
      <c r="F168" s="4" t="s">
        <v>688</v>
      </c>
      <c r="G168" s="4" t="s">
        <v>688</v>
      </c>
      <c r="H168" s="4" t="s">
        <v>80</v>
      </c>
      <c r="I168" s="5"/>
      <c r="J168" s="4"/>
      <c r="K168" s="6">
        <v>160</v>
      </c>
      <c r="L168" s="4">
        <f t="shared" si="2"/>
        <v>176</v>
      </c>
      <c r="M168" s="4" t="s">
        <v>689</v>
      </c>
      <c r="N168" s="4" t="s">
        <v>296</v>
      </c>
      <c r="O168" s="4"/>
      <c r="P168" t="s">
        <v>746</v>
      </c>
    </row>
    <row r="169" spans="1:16" ht="23.1" customHeight="1" x14ac:dyDescent="0.2">
      <c r="A169" s="9" t="s">
        <v>690</v>
      </c>
      <c r="B169" s="9"/>
      <c r="C169" s="9"/>
      <c r="D169" s="9" t="s">
        <v>691</v>
      </c>
      <c r="E169" s="9"/>
      <c r="F169" s="4" t="s">
        <v>692</v>
      </c>
      <c r="G169" s="4" t="s">
        <v>692</v>
      </c>
      <c r="H169" s="4" t="s">
        <v>80</v>
      </c>
      <c r="I169" s="5"/>
      <c r="J169" s="4"/>
      <c r="K169" s="6">
        <v>210</v>
      </c>
      <c r="L169" s="4">
        <f t="shared" si="2"/>
        <v>231.00000000000003</v>
      </c>
      <c r="M169" s="4" t="s">
        <v>689</v>
      </c>
      <c r="N169" s="4" t="s">
        <v>296</v>
      </c>
      <c r="O169" s="4"/>
      <c r="P169" t="s">
        <v>746</v>
      </c>
    </row>
    <row r="170" spans="1:16" ht="23.1" customHeight="1" x14ac:dyDescent="0.2">
      <c r="A170" s="9" t="s">
        <v>693</v>
      </c>
      <c r="B170" s="9"/>
      <c r="C170" s="9"/>
      <c r="D170" s="9" t="s">
        <v>694</v>
      </c>
      <c r="E170" s="9"/>
      <c r="F170" s="4" t="s">
        <v>695</v>
      </c>
      <c r="G170" s="4" t="s">
        <v>696</v>
      </c>
      <c r="H170" s="4" t="s">
        <v>80</v>
      </c>
      <c r="I170" s="5"/>
      <c r="J170" s="4"/>
      <c r="K170" s="6">
        <v>44</v>
      </c>
      <c r="L170" s="4">
        <f t="shared" si="2"/>
        <v>48.400000000000006</v>
      </c>
      <c r="M170" s="4"/>
      <c r="N170" s="4" t="s">
        <v>296</v>
      </c>
      <c r="O170" s="4"/>
      <c r="P170" t="s">
        <v>746</v>
      </c>
    </row>
    <row r="171" spans="1:16" ht="23.1" customHeight="1" x14ac:dyDescent="0.2">
      <c r="A171" s="9" t="s">
        <v>697</v>
      </c>
      <c r="B171" s="9"/>
      <c r="C171" s="9"/>
      <c r="D171" s="9" t="s">
        <v>698</v>
      </c>
      <c r="E171" s="9"/>
      <c r="F171" s="4" t="s">
        <v>699</v>
      </c>
      <c r="G171" s="4" t="s">
        <v>700</v>
      </c>
      <c r="H171" s="4" t="s">
        <v>80</v>
      </c>
      <c r="I171" s="5"/>
      <c r="J171" s="4"/>
      <c r="K171" s="4"/>
      <c r="L171" s="4">
        <f t="shared" si="2"/>
        <v>0</v>
      </c>
      <c r="M171" s="4" t="s">
        <v>478</v>
      </c>
      <c r="N171" s="4" t="s">
        <v>296</v>
      </c>
      <c r="O171" s="4"/>
      <c r="P171" t="s">
        <v>746</v>
      </c>
    </row>
    <row r="172" spans="1:16" ht="23.1" customHeight="1" x14ac:dyDescent="0.2">
      <c r="A172" s="9" t="s">
        <v>701</v>
      </c>
      <c r="B172" s="9"/>
      <c r="C172" s="9"/>
      <c r="D172" s="9" t="s">
        <v>702</v>
      </c>
      <c r="E172" s="9"/>
      <c r="F172" s="4" t="s">
        <v>703</v>
      </c>
      <c r="G172" s="4" t="s">
        <v>703</v>
      </c>
      <c r="H172" s="4" t="s">
        <v>80</v>
      </c>
      <c r="I172" s="5"/>
      <c r="J172" s="4"/>
      <c r="K172" s="6">
        <v>180</v>
      </c>
      <c r="L172" s="4">
        <f t="shared" si="2"/>
        <v>198.00000000000003</v>
      </c>
      <c r="M172" s="4" t="s">
        <v>689</v>
      </c>
      <c r="N172" s="4" t="s">
        <v>296</v>
      </c>
      <c r="O172" s="4"/>
      <c r="P172" t="s">
        <v>746</v>
      </c>
    </row>
    <row r="173" spans="1:16" ht="23.1" customHeight="1" x14ac:dyDescent="0.2">
      <c r="A173" s="9" t="s">
        <v>704</v>
      </c>
      <c r="B173" s="9"/>
      <c r="C173" s="9"/>
      <c r="D173" s="9" t="s">
        <v>705</v>
      </c>
      <c r="E173" s="9"/>
      <c r="F173" s="4" t="s">
        <v>706</v>
      </c>
      <c r="G173" s="4" t="s">
        <v>707</v>
      </c>
      <c r="H173" s="4" t="s">
        <v>80</v>
      </c>
      <c r="I173" s="5"/>
      <c r="J173" s="4"/>
      <c r="K173" s="6">
        <v>50</v>
      </c>
      <c r="L173" s="4">
        <f t="shared" si="2"/>
        <v>55.000000000000007</v>
      </c>
      <c r="M173" s="4"/>
      <c r="N173" s="4" t="s">
        <v>296</v>
      </c>
      <c r="O173" s="4"/>
      <c r="P173" t="s">
        <v>746</v>
      </c>
    </row>
    <row r="174" spans="1:16" ht="23.1" customHeight="1" x14ac:dyDescent="0.2">
      <c r="A174" s="9" t="s">
        <v>708</v>
      </c>
      <c r="B174" s="9"/>
      <c r="C174" s="9"/>
      <c r="D174" s="9" t="s">
        <v>709</v>
      </c>
      <c r="E174" s="9"/>
      <c r="F174" s="4" t="s">
        <v>710</v>
      </c>
      <c r="G174" s="4" t="s">
        <v>710</v>
      </c>
      <c r="H174" s="4" t="s">
        <v>80</v>
      </c>
      <c r="I174" s="7">
        <v>4</v>
      </c>
      <c r="J174" s="4"/>
      <c r="K174" s="6">
        <v>180</v>
      </c>
      <c r="L174" s="4">
        <f t="shared" si="2"/>
        <v>198.00000000000003</v>
      </c>
      <c r="M174" s="4" t="s">
        <v>711</v>
      </c>
      <c r="N174" s="4" t="s">
        <v>296</v>
      </c>
      <c r="O174" s="4"/>
      <c r="P174" t="s">
        <v>746</v>
      </c>
    </row>
    <row r="175" spans="1:16" ht="23.1" customHeight="1" x14ac:dyDescent="0.2">
      <c r="A175" s="9" t="s">
        <v>712</v>
      </c>
      <c r="B175" s="9"/>
      <c r="C175" s="9"/>
      <c r="D175" s="9" t="s">
        <v>713</v>
      </c>
      <c r="E175" s="9"/>
      <c r="F175" s="4" t="s">
        <v>714</v>
      </c>
      <c r="G175" s="4" t="s">
        <v>714</v>
      </c>
      <c r="H175" s="4" t="s">
        <v>80</v>
      </c>
      <c r="I175" s="5"/>
      <c r="J175" s="4"/>
      <c r="K175" s="6">
        <v>180</v>
      </c>
      <c r="L175" s="4">
        <f t="shared" si="2"/>
        <v>198.00000000000003</v>
      </c>
      <c r="M175" s="4" t="s">
        <v>689</v>
      </c>
      <c r="N175" s="4" t="s">
        <v>296</v>
      </c>
      <c r="O175" s="4"/>
      <c r="P175" t="s">
        <v>746</v>
      </c>
    </row>
    <row r="176" spans="1:16" ht="23.1" customHeight="1" x14ac:dyDescent="0.2">
      <c r="A176" s="9" t="s">
        <v>715</v>
      </c>
      <c r="B176" s="9"/>
      <c r="C176" s="9"/>
      <c r="D176" s="9" t="s">
        <v>716</v>
      </c>
      <c r="E176" s="9"/>
      <c r="F176" s="4" t="s">
        <v>717</v>
      </c>
      <c r="G176" s="4" t="s">
        <v>718</v>
      </c>
      <c r="H176" s="4" t="s">
        <v>80</v>
      </c>
      <c r="I176" s="5"/>
      <c r="J176" s="4"/>
      <c r="K176" s="6">
        <v>288</v>
      </c>
      <c r="L176" s="4">
        <f t="shared" si="2"/>
        <v>316.8</v>
      </c>
      <c r="M176" s="4" t="s">
        <v>719</v>
      </c>
      <c r="N176" s="4" t="s">
        <v>296</v>
      </c>
      <c r="O176" s="4"/>
      <c r="P176" t="s">
        <v>746</v>
      </c>
    </row>
    <row r="177" spans="1:16" ht="23.1" customHeight="1" x14ac:dyDescent="0.2">
      <c r="A177" s="9" t="s">
        <v>720</v>
      </c>
      <c r="B177" s="9"/>
      <c r="C177" s="9"/>
      <c r="D177" s="9" t="s">
        <v>721</v>
      </c>
      <c r="E177" s="9"/>
      <c r="F177" s="4" t="s">
        <v>722</v>
      </c>
      <c r="G177" s="4" t="s">
        <v>723</v>
      </c>
      <c r="H177" s="4" t="s">
        <v>80</v>
      </c>
      <c r="I177" s="5"/>
      <c r="J177" s="4"/>
      <c r="K177" s="6">
        <v>180</v>
      </c>
      <c r="L177" s="4">
        <f t="shared" si="2"/>
        <v>198.00000000000003</v>
      </c>
      <c r="M177" s="4"/>
      <c r="N177" s="4" t="s">
        <v>296</v>
      </c>
      <c r="O177" s="4"/>
      <c r="P177" t="s">
        <v>746</v>
      </c>
    </row>
    <row r="178" spans="1:16" ht="23.1" customHeight="1" x14ac:dyDescent="0.2">
      <c r="A178" s="9" t="s">
        <v>724</v>
      </c>
      <c r="B178" s="9"/>
      <c r="C178" s="9"/>
      <c r="D178" s="9" t="s">
        <v>725</v>
      </c>
      <c r="E178" s="9"/>
      <c r="F178" s="4" t="s">
        <v>726</v>
      </c>
      <c r="G178" s="4" t="s">
        <v>726</v>
      </c>
      <c r="H178" s="4" t="s">
        <v>80</v>
      </c>
      <c r="I178" s="5"/>
      <c r="J178" s="4"/>
      <c r="K178" s="6">
        <v>600</v>
      </c>
      <c r="L178" s="4">
        <f t="shared" si="2"/>
        <v>660</v>
      </c>
      <c r="M178" s="4" t="s">
        <v>727</v>
      </c>
      <c r="N178" s="4" t="s">
        <v>296</v>
      </c>
      <c r="O178" s="4"/>
      <c r="P178" t="s">
        <v>746</v>
      </c>
    </row>
    <row r="179" spans="1:16" ht="23.1" customHeight="1" x14ac:dyDescent="0.2">
      <c r="A179" s="9" t="s">
        <v>728</v>
      </c>
      <c r="B179" s="9"/>
      <c r="C179" s="9"/>
      <c r="D179" s="9" t="s">
        <v>729</v>
      </c>
      <c r="E179" s="9"/>
      <c r="F179" s="4" t="s">
        <v>730</v>
      </c>
      <c r="G179" s="4" t="s">
        <v>731</v>
      </c>
      <c r="H179" s="4" t="s">
        <v>80</v>
      </c>
      <c r="I179" s="5"/>
      <c r="J179" s="4"/>
      <c r="K179" s="6">
        <v>180</v>
      </c>
      <c r="L179" s="4">
        <f t="shared" si="2"/>
        <v>198.00000000000003</v>
      </c>
      <c r="M179" s="4" t="s">
        <v>732</v>
      </c>
      <c r="N179" s="4" t="s">
        <v>296</v>
      </c>
      <c r="O179" s="4"/>
      <c r="P179" t="s">
        <v>746</v>
      </c>
    </row>
    <row r="180" spans="1:16" ht="23.1" customHeight="1" x14ac:dyDescent="0.2">
      <c r="A180" s="9" t="s">
        <v>733</v>
      </c>
      <c r="B180" s="9"/>
      <c r="C180" s="9"/>
      <c r="D180" s="9" t="s">
        <v>734</v>
      </c>
      <c r="E180" s="9"/>
      <c r="F180" s="4" t="s">
        <v>735</v>
      </c>
      <c r="G180" s="4" t="s">
        <v>736</v>
      </c>
      <c r="H180" s="4" t="s">
        <v>80</v>
      </c>
      <c r="I180" s="5"/>
      <c r="J180" s="4"/>
      <c r="K180" s="6">
        <v>130</v>
      </c>
      <c r="L180" s="4">
        <f t="shared" si="2"/>
        <v>143</v>
      </c>
      <c r="M180" s="4"/>
      <c r="N180" s="4" t="s">
        <v>296</v>
      </c>
      <c r="O180" s="4"/>
      <c r="P180" t="s">
        <v>746</v>
      </c>
    </row>
    <row r="181" spans="1:16" ht="23.1" customHeight="1" x14ac:dyDescent="0.2">
      <c r="A181" s="9" t="s">
        <v>737</v>
      </c>
      <c r="B181" s="9"/>
      <c r="C181" s="9"/>
      <c r="D181" s="9" t="s">
        <v>738</v>
      </c>
      <c r="E181" s="9"/>
      <c r="F181" s="4" t="s">
        <v>739</v>
      </c>
      <c r="G181" s="4" t="s">
        <v>739</v>
      </c>
      <c r="H181" s="4" t="s">
        <v>80</v>
      </c>
      <c r="I181" s="5"/>
      <c r="J181" s="4"/>
      <c r="K181" s="4"/>
      <c r="L181" s="4">
        <f t="shared" si="2"/>
        <v>0</v>
      </c>
      <c r="M181" s="4" t="s">
        <v>689</v>
      </c>
      <c r="N181" s="4" t="s">
        <v>296</v>
      </c>
      <c r="O181" s="4"/>
      <c r="P181" t="s">
        <v>746</v>
      </c>
    </row>
    <row r="182" spans="1:16" ht="23.1" customHeight="1" x14ac:dyDescent="0.2">
      <c r="A182" s="9" t="s">
        <v>740</v>
      </c>
      <c r="B182" s="9"/>
      <c r="C182" s="9"/>
      <c r="D182" s="9" t="s">
        <v>741</v>
      </c>
      <c r="E182" s="9"/>
      <c r="F182" s="4" t="s">
        <v>742</v>
      </c>
      <c r="G182" s="4" t="s">
        <v>743</v>
      </c>
      <c r="H182" s="4" t="s">
        <v>80</v>
      </c>
      <c r="I182" s="7">
        <v>4.5</v>
      </c>
      <c r="J182" s="4" t="s">
        <v>234</v>
      </c>
      <c r="K182" s="4"/>
      <c r="L182" s="4">
        <f t="shared" si="2"/>
        <v>0</v>
      </c>
      <c r="M182" s="4" t="s">
        <v>354</v>
      </c>
      <c r="N182" s="4" t="s">
        <v>744</v>
      </c>
      <c r="O182" s="7">
        <v>147.9</v>
      </c>
      <c r="P182" t="s">
        <v>746</v>
      </c>
    </row>
  </sheetData>
  <mergeCells count="354"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74:C174"/>
    <mergeCell ref="D174:E174"/>
    <mergeCell ref="A175:C175"/>
    <mergeCell ref="D175:E175"/>
    <mergeCell ref="A181:C181"/>
    <mergeCell ref="D181:E181"/>
    <mergeCell ref="A182:C182"/>
    <mergeCell ref="D182:E182"/>
    <mergeCell ref="A176:C176"/>
    <mergeCell ref="D176:E176"/>
    <mergeCell ref="A177:C177"/>
    <mergeCell ref="D177:E177"/>
    <mergeCell ref="A178:C178"/>
    <mergeCell ref="D178:E178"/>
    <mergeCell ref="A179:C179"/>
    <mergeCell ref="D179:E179"/>
    <mergeCell ref="A180:C180"/>
    <mergeCell ref="D180:E180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Вячеслав</cp:lastModifiedBy>
  <dcterms:modified xsi:type="dcterms:W3CDTF">2025-02-11T13:45:31Z</dcterms:modified>
</cp:coreProperties>
</file>